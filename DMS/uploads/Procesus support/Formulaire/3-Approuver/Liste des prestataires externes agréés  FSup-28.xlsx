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6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drawings/drawing9.xml" ContentType="application/vnd.openxmlformats-officedocument.drawing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9"/>
  </bookViews>
  <sheets>
    <sheet name="2015-2014" sheetId="1" state="visible" r:id="rId1"/>
    <sheet name="2016" sheetId="2" state="visible" r:id="rId2"/>
    <sheet name="2017" sheetId="3" state="visible" r:id="rId3"/>
    <sheet name="2018" sheetId="4" state="visible" r:id="rId4"/>
    <sheet name="2019" sheetId="5" state="visible" r:id="rId5"/>
    <sheet name="2020" sheetId="6" state="visible" r:id="rId6"/>
    <sheet name="2021" sheetId="7" state="visible" r:id="rId7"/>
    <sheet name="2022" sheetId="8" state="visible" r:id="rId8"/>
    <sheet name="2023" sheetId="9" state="visible" r:id="rId9"/>
    <sheet name="2024" sheetId="10" state="visible" r:id="rId10"/>
    <sheet name="2025" sheetId="11" state="visible" r:id="rId11"/>
  </sheets>
  <definedNames>
    <definedName name="Z_53F64C78_E1E9_4185_8708_549C2317E20B_.wvu.PrintArea" localSheetId="0" hidden="1">'2015-2014'!$A$1:$I$49</definedName>
    <definedName name="_xlnm.Print_Area" localSheetId="0">'2015-2014'!$A$1:$I$49</definedName>
    <definedName name="Z_53F64C78_E1E9_4185_8708_549C2317E20B_.wvu.PrintArea" localSheetId="1" hidden="1">'2016'!$A$3:$K$32</definedName>
    <definedName name="_xlnm.Print_Area" localSheetId="1">'2016'!$A$3:$K$32</definedName>
    <definedName name="_xlnm.Print_Area" localSheetId="6">'2021'!$A$1:$J$33</definedName>
    <definedName name="_xlnm.Print_Area" localSheetId="8">'2023'!$A$1:$I$30</definedName>
  </definedNames>
  <calcPr/>
</workbook>
</file>

<file path=xl/sharedStrings.xml><?xml version="1.0" encoding="utf-8"?>
<sst xmlns="http://schemas.openxmlformats.org/spreadsheetml/2006/main" count="91" uniqueCount="91">
  <si>
    <t>FORMULAIRE</t>
  </si>
  <si>
    <t>Réf :</t>
  </si>
  <si>
    <t>FSup-29</t>
  </si>
  <si>
    <t>IE :</t>
  </si>
  <si>
    <t xml:space="preserve">Liste des fournisseurs agréés  </t>
  </si>
  <si>
    <t>Date :</t>
  </si>
  <si>
    <t>Page :</t>
  </si>
  <si>
    <t xml:space="preserve">Année </t>
  </si>
  <si>
    <t xml:space="preserve">NG Minimal = 2</t>
  </si>
  <si>
    <t xml:space="preserve"> Retenu</t>
  </si>
  <si>
    <t xml:space="preserve">Non Retenu </t>
  </si>
  <si>
    <t xml:space="preserve">Code fornisseur </t>
  </si>
  <si>
    <t xml:space="preserve">Nom Fornisseur</t>
  </si>
  <si>
    <t xml:space="preserve">communication (0,3) </t>
  </si>
  <si>
    <t xml:space="preserve">qualité (0,4)</t>
  </si>
  <si>
    <t xml:space="preserve">délais ( 0,3)</t>
  </si>
  <si>
    <t>NG</t>
  </si>
  <si>
    <t xml:space="preserve">avis </t>
  </si>
  <si>
    <t>01</t>
  </si>
  <si>
    <t>TECHPLUS</t>
  </si>
  <si>
    <t>02</t>
  </si>
  <si>
    <t>CTMCCV</t>
  </si>
  <si>
    <t>03</t>
  </si>
  <si>
    <t>CETIMME</t>
  </si>
  <si>
    <t>04</t>
  </si>
  <si>
    <t>CNCC</t>
  </si>
  <si>
    <t>05</t>
  </si>
  <si>
    <t xml:space="preserve">CK-Métrologie </t>
  </si>
  <si>
    <t>06</t>
  </si>
  <si>
    <t>ADI</t>
  </si>
  <si>
    <t>07</t>
  </si>
  <si>
    <t>DEFNAT</t>
  </si>
  <si>
    <t>08</t>
  </si>
  <si>
    <t>LCAE</t>
  </si>
  <si>
    <t>09</t>
  </si>
  <si>
    <t>ATFST</t>
  </si>
  <si>
    <t>10</t>
  </si>
  <si>
    <t>POINTEC</t>
  </si>
  <si>
    <t>11</t>
  </si>
  <si>
    <t xml:space="preserve">COLOR CONCEPT</t>
  </si>
  <si>
    <t>12</t>
  </si>
  <si>
    <t xml:space="preserve">TUNAC </t>
  </si>
  <si>
    <t>13</t>
  </si>
  <si>
    <t>IMC</t>
  </si>
  <si>
    <t>FSup-28</t>
  </si>
  <si>
    <t>1/1</t>
  </si>
  <si>
    <t xml:space="preserve">retenu /pas d'affaire</t>
  </si>
  <si>
    <t>LNE</t>
  </si>
  <si>
    <t xml:space="preserve">Aymen SAID</t>
  </si>
  <si>
    <t xml:space="preserve">Rédaction </t>
  </si>
  <si>
    <t xml:space="preserve">Vérification </t>
  </si>
  <si>
    <t xml:space="preserve">Aprobation </t>
  </si>
  <si>
    <t xml:space="preserve">Naoufel BEN ATTIA</t>
  </si>
  <si>
    <t xml:space="preserve">Mongi SOUAYED</t>
  </si>
  <si>
    <t>EBR</t>
  </si>
  <si>
    <t>14</t>
  </si>
  <si>
    <t xml:space="preserve">SNE SOMETEL</t>
  </si>
  <si>
    <t>15</t>
  </si>
  <si>
    <t>ANM</t>
  </si>
  <si>
    <t>16</t>
  </si>
  <si>
    <t>WORKMAN</t>
  </si>
  <si>
    <t>Rédaction</t>
  </si>
  <si>
    <t>Vérification</t>
  </si>
  <si>
    <t>Approbation</t>
  </si>
  <si>
    <t>Nom</t>
  </si>
  <si>
    <t xml:space="preserve">Ben Attia Naoufel</t>
  </si>
  <si>
    <t xml:space="preserve">SOUAYED Mongi</t>
  </si>
  <si>
    <t>Fonction</t>
  </si>
  <si>
    <t>RTC</t>
  </si>
  <si>
    <t>RT</t>
  </si>
  <si>
    <t>Gérant</t>
  </si>
  <si>
    <t>Signature</t>
  </si>
  <si>
    <t>17</t>
  </si>
  <si>
    <t>18</t>
  </si>
  <si>
    <t xml:space="preserve">PCE INSTRUMENT</t>
  </si>
  <si>
    <t xml:space="preserve">Liste des prestataires externes agréés  </t>
  </si>
  <si>
    <t xml:space="preserve">Code prestataire externe</t>
  </si>
  <si>
    <t xml:space="preserve">Nom prestataire externe</t>
  </si>
  <si>
    <t xml:space="preserve">Affaires en cours</t>
  </si>
  <si>
    <t>19</t>
  </si>
  <si>
    <t xml:space="preserve">IBRA PRINT</t>
  </si>
  <si>
    <t>20</t>
  </si>
  <si>
    <t xml:space="preserve">SLS CONSULT</t>
  </si>
  <si>
    <t xml:space="preserve">Avis </t>
  </si>
  <si>
    <t>CETIME</t>
  </si>
  <si>
    <t xml:space="preserve">Fawzi chawali</t>
  </si>
  <si>
    <t>21</t>
  </si>
  <si>
    <t>kiwa</t>
  </si>
  <si>
    <t xml:space="preserve">Année 2024</t>
  </si>
  <si>
    <t>Retenu</t>
  </si>
  <si>
    <t xml:space="preserve">NG                      (NG Minimal = 2)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</si>
</sst>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_-* #,##0.00\ _€_-;\-* #,##0.00\ _€_-;_-* &quot;-&quot;??\ _€_-;_-@_-"/>
    <numFmt numFmtId="161" formatCode="#\ ?/?"/>
    <numFmt numFmtId="162" formatCode="_-* #,##0.0\ _€_-;\-* #,##0.0\ _€_-;_-* &quot;-&quot;??\ _€_-;_-@_-"/>
  </numFmts>
  <fonts count="15">
    <font>
      <name val="Calibri"/>
      <color indexed="64"/>
      <sz val="11.000000"/>
    </font>
    <font>
      <name val="Arial"/>
      <b/>
      <color indexed="64"/>
      <sz val="10.000000"/>
    </font>
    <font>
      <name val="Arial"/>
      <b/>
      <color indexed="64"/>
      <sz val="11.000000"/>
    </font>
    <font>
      <name val="Arial"/>
      <b/>
      <color indexed="64"/>
      <sz val="12.000000"/>
    </font>
    <font>
      <name val="Calibri"/>
      <b/>
      <color indexed="64"/>
      <sz val="11.000000"/>
    </font>
    <font>
      <name val="Times New Roman"/>
      <b/>
      <color indexed="64"/>
      <sz val="12.000000"/>
    </font>
    <font>
      <name val="Times New Roman"/>
      <b/>
      <color indexed="64"/>
      <sz val="11.000000"/>
    </font>
    <font>
      <name val="Calibri"/>
      <color indexed="64"/>
      <sz val="10.000000"/>
    </font>
    <font>
      <name val="Times New Roman"/>
      <b/>
      <color indexed="64"/>
      <sz val="10.000000"/>
    </font>
    <font>
      <name val="Calibri"/>
      <b/>
      <color indexed="64"/>
      <sz val="10.000000"/>
    </font>
    <font>
      <name val="Calibri"/>
      <b/>
      <color indexed="64"/>
      <sz val="9.000000"/>
    </font>
    <font>
      <name val="Calibri"/>
      <b/>
      <color indexed="64"/>
      <sz val="10.000000"/>
      <scheme val="minor"/>
    </font>
    <font>
      <name val="Calibri"/>
      <b/>
      <color indexed="64"/>
      <sz val="11.000000"/>
      <scheme val="minor"/>
    </font>
    <font>
      <name val="Calibri"/>
      <color indexed="64"/>
      <sz val="11.000000"/>
      <scheme val="minor"/>
    </font>
    <font>
      <name val="Calibri"/>
      <color indexed="2"/>
      <sz val="11.000000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D8D8D8"/>
      </patternFill>
    </fill>
    <fill>
      <patternFill patternType="solid">
        <fgColor indexed="2"/>
        <bgColor rgb="FFD8D8D8"/>
      </patternFill>
    </fill>
    <fill>
      <patternFill patternType="solid">
        <fgColor rgb="FFF79646"/>
        <bgColor rgb="FFF79646"/>
      </patternFill>
    </fill>
    <fill>
      <patternFill patternType="solid">
        <fgColor rgb="FFD8D8D8"/>
        <bgColor rgb="FFD8D8D8"/>
      </patternFill>
    </fill>
    <fill>
      <patternFill patternType="solid">
        <fgColor indexed="5"/>
        <bgColor rgb="FFD8D8D8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rgb="FFD8D8D8"/>
      </patternFill>
    </fill>
    <fill>
      <patternFill patternType="solid">
        <fgColor rgb="FF00B0F0"/>
        <bgColor rgb="FF00B0F0"/>
      </patternFill>
    </fill>
    <fill>
      <patternFill patternType="gray125">
        <fgColor rgb="FFE5E5E5"/>
        <bgColor rgb="FFE5E5E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4" tint="0.39997558519241921"/>
        <bgColor rgb="FFF79646"/>
      </patternFill>
    </fill>
    <fill>
      <patternFill patternType="solid">
        <fgColor theme="0"/>
        <bgColor rgb="FFF79646"/>
      </patternFill>
    </fill>
    <fill>
      <patternFill patternType="solid">
        <fgColor indexed="2"/>
        <bgColor indexed="2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3">
    <xf fontId="0" fillId="0" borderId="0" numFmtId="0" applyNumberFormat="1" applyFont="1" applyFill="1" applyBorder="1"/>
    <xf fontId="0" fillId="0" borderId="0" numFmtId="0" applyNumberFormat="0" applyFont="0" applyFill="0" applyBorder="0" applyProtection="0"/>
    <xf fontId="0" fillId="0" borderId="0" numFmtId="160" applyNumberFormat="1" applyFont="0" applyFill="0" applyBorder="0" applyProtection="0"/>
  </cellStyleXfs>
  <cellXfs count="157">
    <xf fontId="0" fillId="0" borderId="0" numFmtId="0" xfId="0"/>
    <xf fontId="0" fillId="0" borderId="1" numFmtId="0" xfId="0" applyBorder="1"/>
    <xf fontId="0" fillId="0" borderId="2" numFmtId="0" xfId="0" applyBorder="1"/>
    <xf fontId="1" fillId="0" borderId="1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left" vertical="center" wrapText="1"/>
    </xf>
    <xf fontId="0" fillId="0" borderId="5" numFmtId="0" xfId="0" applyBorder="1"/>
    <xf fontId="0" fillId="0" borderId="6" numFmtId="0" xfId="0" applyBorder="1"/>
    <xf fontId="1" fillId="0" borderId="7" numFmtId="0" xfId="0" applyFont="1" applyBorder="1" applyAlignment="1">
      <alignment horizontal="center" vertical="center" wrapText="1"/>
    </xf>
    <xf fontId="1" fillId="0" borderId="8" numFmtId="0" xfId="0" applyFont="1" applyBorder="1" applyAlignment="1">
      <alignment horizontal="center" vertical="center" wrapText="1"/>
    </xf>
    <xf fontId="1" fillId="0" borderId="9" numFmtId="0" xfId="0" applyFont="1" applyBorder="1" applyAlignment="1">
      <alignment horizontal="center" vertical="center" wrapText="1"/>
    </xf>
    <xf fontId="2" fillId="0" borderId="4" numFmtId="14" xfId="0" applyNumberFormat="1" applyFont="1" applyBorder="1" applyAlignment="1">
      <alignment horizontal="left" vertical="center" wrapText="1"/>
    </xf>
    <xf fontId="0" fillId="0" borderId="7" numFmtId="0" xfId="0" applyBorder="1"/>
    <xf fontId="0" fillId="0" borderId="9" numFmtId="0" xfId="0" applyBorder="1"/>
    <xf fontId="3" fillId="0" borderId="4" numFmtId="161" xfId="0" applyNumberFormat="1" applyFont="1" applyBorder="1" applyAlignment="1">
      <alignment horizontal="left" vertical="center" wrapText="1"/>
    </xf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3" fillId="0" borderId="0" numFmtId="161" xfId="0" applyNumberFormat="1" applyFont="1" applyAlignment="1">
      <alignment horizontal="left" vertical="center" wrapText="1"/>
    </xf>
    <xf fontId="0" fillId="2" borderId="0" numFmtId="0" xfId="0" applyFill="1"/>
    <xf fontId="1" fillId="3" borderId="0" numFmtId="0" xfId="0" applyFont="1" applyFill="1" applyAlignment="1">
      <alignment horizontal="center" vertical="center" wrapText="1"/>
    </xf>
    <xf fontId="4" fillId="4" borderId="0" numFmtId="0" xfId="0" applyFont="1" applyFill="1" applyAlignment="1">
      <alignment horizontal="center"/>
    </xf>
    <xf fontId="0" fillId="4" borderId="0" numFmtId="0" xfId="0" applyFill="1" applyAlignment="1">
      <alignment horizontal="center"/>
    </xf>
    <xf fontId="0" fillId="5" borderId="0" numFmtId="0" xfId="0" applyFill="1"/>
    <xf fontId="0" fillId="6" borderId="10" numFmtId="0" xfId="0" applyFill="1" applyBorder="1" applyAlignment="1">
      <alignment horizontal="center"/>
    </xf>
    <xf fontId="0" fillId="7" borderId="10" numFmtId="0" xfId="0" applyFill="1" applyBorder="1" applyAlignment="1">
      <alignment horizontal="center"/>
    </xf>
    <xf fontId="5" fillId="8" borderId="11" numFmtId="0" xfId="0" applyFont="1" applyFill="1" applyBorder="1" applyAlignment="1">
      <alignment horizontal="center" vertical="center" wrapText="1"/>
    </xf>
    <xf fontId="5" fillId="8" borderId="12" numFmtId="0" xfId="0" applyFont="1" applyFill="1" applyBorder="1" applyAlignment="1">
      <alignment horizontal="center" vertical="center" wrapText="1"/>
    </xf>
    <xf fontId="5" fillId="8" borderId="13" numFmtId="0" xfId="0" applyFont="1" applyFill="1" applyBorder="1" applyAlignment="1">
      <alignment horizontal="center" vertical="center"/>
    </xf>
    <xf fontId="5" fillId="8" borderId="13" numFmtId="0" xfId="0" applyFont="1" applyFill="1" applyBorder="1" applyAlignment="1">
      <alignment horizontal="center" vertical="center" wrapText="1"/>
    </xf>
    <xf fontId="0" fillId="9" borderId="12" numFmtId="49" xfId="0" applyNumberFormat="1" applyFill="1" applyBorder="1" applyAlignment="1">
      <alignment horizontal="center"/>
    </xf>
    <xf fontId="0" fillId="9" borderId="12" numFmtId="0" xfId="0" applyFill="1" applyBorder="1" applyAlignment="1">
      <alignment horizontal="center"/>
    </xf>
    <xf fontId="0" fillId="9" borderId="11" numFmtId="0" xfId="0" applyFill="1" applyBorder="1" applyAlignment="1">
      <alignment horizontal="center"/>
    </xf>
    <xf fontId="0" fillId="9" borderId="10" numFmtId="0" xfId="0" applyFill="1" applyBorder="1" applyAlignment="1">
      <alignment horizontal="center"/>
    </xf>
    <xf fontId="0" fillId="9" borderId="13" numFmtId="0" xfId="0" applyFill="1" applyBorder="1" applyAlignment="1">
      <alignment horizontal="center"/>
    </xf>
    <xf fontId="0" fillId="7" borderId="12" numFmtId="49" xfId="0" applyNumberFormat="1" applyFill="1" applyBorder="1" applyAlignment="1">
      <alignment horizontal="center"/>
    </xf>
    <xf fontId="0" fillId="7" borderId="11" numFmtId="0" xfId="0" applyFill="1" applyBorder="1" applyAlignment="1">
      <alignment horizontal="center" wrapText="1"/>
    </xf>
    <xf fontId="0" fillId="7" borderId="11" numFmtId="0" xfId="0" applyFill="1" applyBorder="1" applyAlignment="1">
      <alignment horizontal="center"/>
    </xf>
    <xf fontId="0" fillId="7" borderId="13" numFmtId="0" xfId="0" applyFill="1" applyBorder="1" applyAlignment="1">
      <alignment horizontal="center"/>
    </xf>
    <xf fontId="5" fillId="8" borderId="14" numFmtId="0" xfId="0" applyFont="1" applyFill="1" applyBorder="1" applyAlignment="1">
      <alignment horizontal="center" vertical="center" wrapText="1"/>
    </xf>
    <xf fontId="0" fillId="10" borderId="11" numFmtId="0" xfId="0" applyFill="1" applyBorder="1" applyAlignment="1">
      <alignment horizontal="center"/>
    </xf>
    <xf fontId="0" fillId="10" borderId="10" numFmtId="0" xfId="0" applyFill="1" applyBorder="1" applyAlignment="1">
      <alignment horizontal="center"/>
    </xf>
    <xf fontId="0" fillId="10" borderId="13" numFmtId="0" xfId="0" applyFill="1" applyBorder="1" applyAlignment="1">
      <alignment horizontal="center"/>
    </xf>
    <xf fontId="0" fillId="6" borderId="14" numFmtId="0" xfId="0" applyFill="1" applyBorder="1" applyAlignment="1">
      <alignment horizontal="center"/>
    </xf>
    <xf fontId="0" fillId="9" borderId="14" numFmtId="0" xfId="0" applyFill="1" applyBorder="1" applyAlignment="1">
      <alignment horizontal="center"/>
    </xf>
    <xf fontId="0" fillId="7" borderId="14" numFmtId="0" xfId="0" applyFill="1" applyBorder="1" applyAlignment="1">
      <alignment horizontal="center"/>
    </xf>
    <xf fontId="3" fillId="0" borderId="4" numFmtId="49" xfId="0" applyNumberFormat="1" applyFont="1" applyBorder="1" applyAlignment="1">
      <alignment horizontal="left" vertical="center" wrapText="1"/>
    </xf>
    <xf fontId="0" fillId="11" borderId="0" numFmtId="0" xfId="0" applyFill="1"/>
    <xf fontId="0" fillId="0" borderId="0" numFmtId="12" xfId="0" applyNumberFormat="1"/>
    <xf fontId="5" fillId="8" borderId="12" numFmtId="0" xfId="0" applyFont="1" applyFill="1" applyBorder="1" applyAlignment="1">
      <alignment horizontal="center" vertical="center"/>
    </xf>
    <xf fontId="0" fillId="10" borderId="12" numFmtId="49" xfId="0" applyNumberFormat="1" applyFill="1" applyBorder="1" applyAlignment="1">
      <alignment horizontal="center"/>
    </xf>
    <xf fontId="0" fillId="10" borderId="12" numFmtId="0" xfId="0" applyFill="1" applyBorder="1" applyAlignment="1">
      <alignment horizontal="center"/>
    </xf>
    <xf fontId="0" fillId="10" borderId="10" numFmtId="0" xfId="0" applyFill="1" applyBorder="1" applyAlignment="1" applyProtection="1">
      <alignment horizontal="center"/>
      <protection locked="0"/>
    </xf>
    <xf fontId="0" fillId="10" borderId="14" numFmtId="0" xfId="0" applyFill="1" applyBorder="1" applyAlignment="1">
      <alignment horizontal="center"/>
    </xf>
    <xf fontId="0" fillId="12" borderId="11" numFmtId="0" xfId="0" applyFill="1" applyBorder="1" applyAlignment="1" applyProtection="1">
      <alignment horizontal="center"/>
      <protection locked="0"/>
    </xf>
    <xf fontId="0" fillId="12" borderId="10" numFmtId="0" xfId="0" applyFill="1" applyBorder="1" applyAlignment="1" applyProtection="1">
      <alignment horizontal="center"/>
      <protection locked="0"/>
    </xf>
    <xf fontId="0" fillId="12" borderId="13" numFmtId="0" xfId="0" applyFill="1" applyBorder="1" applyAlignment="1">
      <alignment horizontal="center"/>
    </xf>
    <xf fontId="0" fillId="10" borderId="11" numFmtId="0" xfId="0" applyFill="1" applyBorder="1" applyAlignment="1" applyProtection="1">
      <alignment horizontal="center"/>
      <protection locked="0"/>
    </xf>
    <xf fontId="0" fillId="10" borderId="13" numFmtId="0" xfId="0" applyFill="1" applyBorder="1" applyAlignment="1" applyProtection="1">
      <alignment horizontal="center"/>
      <protection locked="0"/>
    </xf>
    <xf fontId="0" fillId="12" borderId="15" numFmtId="0" xfId="0" applyFill="1" applyBorder="1"/>
    <xf fontId="0" fillId="5" borderId="15" numFmtId="0" xfId="0" applyFill="1" applyBorder="1"/>
    <xf fontId="0" fillId="0" borderId="16" numFmtId="0" xfId="0" applyBorder="1" applyAlignment="1">
      <alignment horizontal="center" wrapText="1"/>
    </xf>
    <xf fontId="0" fillId="0" borderId="16" numFmtId="0" xfId="0" applyBorder="1" applyAlignment="1">
      <alignment horizontal="center"/>
    </xf>
    <xf fontId="0" fillId="0" borderId="17" numFmtId="0" xfId="0" applyBorder="1" applyAlignment="1">
      <alignment horizontal="center" wrapText="1"/>
    </xf>
    <xf fontId="0" fillId="0" borderId="17" numFmtId="0" xfId="0" applyBorder="1" applyAlignment="1">
      <alignment horizontal="center"/>
    </xf>
    <xf fontId="0" fillId="13" borderId="0" numFmtId="0" xfId="0" applyFill="1"/>
    <xf fontId="1" fillId="13" borderId="0" numFmtId="0" xfId="0" applyFont="1" applyFill="1" applyAlignment="1">
      <alignment horizontal="center" vertical="center" wrapText="1"/>
    </xf>
    <xf fontId="6" fillId="8" borderId="11" numFmtId="0" xfId="0" applyFont="1" applyFill="1" applyBorder="1" applyAlignment="1">
      <alignment horizontal="center" vertical="center" wrapText="1"/>
    </xf>
    <xf fontId="6" fillId="8" borderId="12" numFmtId="0" xfId="0" applyFont="1" applyFill="1" applyBorder="1" applyAlignment="1">
      <alignment horizontal="center" vertical="center" wrapText="1"/>
    </xf>
    <xf fontId="6" fillId="8" borderId="13" numFmtId="0" xfId="0" applyFont="1" applyFill="1" applyBorder="1" applyAlignment="1">
      <alignment horizontal="center" vertical="center" wrapText="1"/>
    </xf>
    <xf fontId="6" fillId="8" borderId="12" numFmtId="0" xfId="0" applyFont="1" applyFill="1" applyBorder="1" applyAlignment="1">
      <alignment horizontal="center" vertical="center"/>
    </xf>
    <xf fontId="6" fillId="8" borderId="14" numFmtId="0" xfId="0" applyFont="1" applyFill="1" applyBorder="1" applyAlignment="1">
      <alignment horizontal="center" vertical="center" wrapText="1"/>
    </xf>
    <xf fontId="0" fillId="12" borderId="10" numFmtId="160" xfId="2" applyNumberFormat="1" applyFill="1" applyBorder="1" applyAlignment="1" applyProtection="1">
      <alignment horizontal="center"/>
      <protection locked="0"/>
    </xf>
    <xf fontId="0" fillId="12" borderId="13" numFmtId="162" xfId="2" applyNumberFormat="1" applyFill="1" applyBorder="1" applyAlignment="1">
      <alignment horizontal="center" vertical="top"/>
    </xf>
    <xf fontId="0" fillId="10" borderId="13" numFmtId="162" xfId="2" applyNumberFormat="1" applyFill="1" applyBorder="1" applyAlignment="1">
      <alignment horizontal="center" vertical="top"/>
    </xf>
    <xf fontId="2" fillId="0" borderId="18" numFmtId="0" xfId="0" applyFont="1" applyBorder="1" applyAlignment="1">
      <alignment vertical="top" wrapText="1"/>
    </xf>
    <xf fontId="2" fillId="14" borderId="19" numFmtId="0" xfId="0" applyFont="1" applyFill="1" applyBorder="1" applyAlignment="1">
      <alignment vertical="top" wrapText="1"/>
    </xf>
    <xf fontId="2" fillId="14" borderId="20" numFmtId="0" xfId="0" applyFont="1" applyFill="1" applyBorder="1" applyAlignment="1">
      <alignment wrapText="1"/>
    </xf>
    <xf fontId="2" fillId="0" borderId="21" numFmtId="0" xfId="0" applyFont="1" applyBorder="1" applyAlignment="1">
      <alignment horizontal="center" wrapText="1"/>
    </xf>
    <xf fontId="2" fillId="14" borderId="22" numFmtId="0" xfId="0" applyFont="1" applyFill="1" applyBorder="1" applyAlignment="1">
      <alignment wrapText="1"/>
    </xf>
    <xf fontId="2" fillId="14" borderId="23" numFmtId="0" xfId="0" applyFont="1" applyFill="1" applyBorder="1" applyAlignment="1">
      <alignment wrapText="1"/>
    </xf>
    <xf fontId="2" fillId="0" borderId="23" numFmtId="0" xfId="0" applyFont="1" applyBorder="1" applyAlignment="1">
      <alignment wrapText="1"/>
    </xf>
    <xf fontId="2" fillId="0" borderId="22" numFmtId="0" xfId="0" applyFont="1" applyBorder="1" applyAlignment="1">
      <alignment wrapText="1"/>
    </xf>
    <xf fontId="2" fillId="0" borderId="21" numFmtId="0" xfId="0" applyFont="1" applyBorder="1" applyAlignment="1">
      <alignment wrapText="1"/>
    </xf>
    <xf fontId="0" fillId="10" borderId="24" numFmtId="162" xfId="2" applyNumberFormat="1" applyFill="1" applyBorder="1" applyAlignment="1">
      <alignment horizontal="center" vertical="top"/>
    </xf>
    <xf fontId="0" fillId="9" borderId="25" numFmtId="49" xfId="0" applyNumberFormat="1" applyFill="1" applyBorder="1" applyAlignment="1">
      <alignment horizontal="center"/>
    </xf>
    <xf fontId="0" fillId="12" borderId="26" numFmtId="0" xfId="0" applyFill="1" applyBorder="1" applyAlignment="1" applyProtection="1">
      <alignment horizontal="center"/>
      <protection locked="0"/>
    </xf>
    <xf fontId="0" fillId="12" borderId="26" numFmtId="160" xfId="2" applyNumberFormat="1" applyFill="1" applyBorder="1" applyAlignment="1" applyProtection="1">
      <alignment horizontal="center"/>
      <protection locked="0"/>
    </xf>
    <xf fontId="0" fillId="12" borderId="24" numFmtId="162" xfId="2" applyNumberFormat="1" applyFill="1" applyBorder="1" applyAlignment="1">
      <alignment horizontal="center" vertical="top"/>
    </xf>
    <xf fontId="0" fillId="12" borderId="15" numFmtId="162" xfId="2" applyNumberFormat="1" applyFill="1" applyBorder="1" applyAlignment="1">
      <alignment horizontal="center" vertical="top"/>
    </xf>
    <xf fontId="0" fillId="6" borderId="27" numFmtId="0" xfId="0" applyFill="1" applyBorder="1" applyAlignment="1">
      <alignment horizontal="center"/>
    </xf>
    <xf fontId="0" fillId="9" borderId="15" numFmtId="49" xfId="0" applyNumberFormat="1" applyFill="1" applyBorder="1" applyAlignment="1">
      <alignment horizontal="center"/>
    </xf>
    <xf fontId="7" fillId="9" borderId="15" numFmtId="49" xfId="0" applyNumberFormat="1" applyFont="1" applyFill="1" applyBorder="1" applyAlignment="1">
      <alignment horizontal="center"/>
    </xf>
    <xf fontId="0" fillId="6" borderId="15" numFmtId="0" xfId="0" applyFill="1" applyBorder="1" applyAlignment="1">
      <alignment horizontal="center"/>
    </xf>
    <xf fontId="0" fillId="12" borderId="28" numFmtId="0" xfId="0" applyFill="1" applyBorder="1" applyAlignment="1" applyProtection="1">
      <alignment horizontal="center"/>
      <protection locked="0"/>
    </xf>
    <xf fontId="8" fillId="8" borderId="11" numFmtId="0" xfId="0" applyFont="1" applyFill="1" applyBorder="1" applyAlignment="1">
      <alignment horizontal="center" vertical="center" wrapText="1"/>
    </xf>
    <xf fontId="8" fillId="8" borderId="13" numFmtId="0" xfId="0" applyFont="1" applyFill="1" applyBorder="1" applyAlignment="1">
      <alignment horizontal="center" vertical="center" wrapText="1"/>
    </xf>
    <xf fontId="4" fillId="10" borderId="12" numFmtId="0" xfId="0" applyFont="1" applyFill="1" applyBorder="1" applyAlignment="1">
      <alignment horizontal="center"/>
    </xf>
    <xf fontId="4" fillId="9" borderId="11" numFmtId="0" xfId="0" applyFont="1" applyFill="1" applyBorder="1" applyAlignment="1">
      <alignment horizontal="center"/>
    </xf>
    <xf fontId="4" fillId="10" borderId="11" numFmtId="0" xfId="0" applyFont="1" applyFill="1" applyBorder="1" applyAlignment="1">
      <alignment horizontal="center"/>
    </xf>
    <xf fontId="4" fillId="10" borderId="14" numFmtId="0" xfId="0" applyFont="1" applyFill="1" applyBorder="1" applyAlignment="1">
      <alignment horizontal="center"/>
    </xf>
    <xf fontId="9" fillId="9" borderId="25" numFmtId="49" xfId="0" applyNumberFormat="1" applyFont="1" applyFill="1" applyBorder="1" applyAlignment="1">
      <alignment horizontal="center"/>
    </xf>
    <xf fontId="10" fillId="9" borderId="15" numFmtId="49" xfId="0" applyNumberFormat="1" applyFont="1" applyFill="1" applyBorder="1" applyAlignment="1">
      <alignment horizontal="center"/>
    </xf>
    <xf fontId="4" fillId="10" borderId="12" numFmtId="49" xfId="0" applyNumberFormat="1" applyFont="1" applyFill="1" applyBorder="1"/>
    <xf fontId="4" fillId="10" borderId="12" numFmtId="0" xfId="0" applyFont="1" applyFill="1" applyBorder="1" applyAlignment="1">
      <alignment horizontal="left"/>
    </xf>
    <xf fontId="4" fillId="9" borderId="12" numFmtId="49" xfId="0" applyNumberFormat="1" applyFont="1" applyFill="1" applyBorder="1"/>
    <xf fontId="4" fillId="9" borderId="11" numFmtId="0" xfId="0" applyFont="1" applyFill="1" applyBorder="1" applyAlignment="1">
      <alignment horizontal="left"/>
    </xf>
    <xf fontId="4" fillId="6" borderId="14" numFmtId="0" xfId="0" applyFont="1" applyFill="1" applyBorder="1" applyAlignment="1">
      <alignment horizontal="center"/>
    </xf>
    <xf fontId="4" fillId="10" borderId="11" numFmtId="0" xfId="0" applyFont="1" applyFill="1" applyBorder="1"/>
    <xf fontId="4" fillId="10" borderId="11" numFmtId="0" xfId="0" applyFont="1" applyFill="1" applyBorder="1" applyAlignment="1">
      <alignment horizontal="left"/>
    </xf>
    <xf fontId="0" fillId="10" borderId="26" numFmtId="0" xfId="0" applyFill="1" applyBorder="1" applyAlignment="1" applyProtection="1">
      <alignment horizontal="center"/>
      <protection locked="0"/>
    </xf>
    <xf fontId="4" fillId="10" borderId="12" numFmtId="0" xfId="0" applyFont="1" applyFill="1" applyBorder="1"/>
    <xf fontId="0" fillId="10" borderId="15" numFmtId="162" xfId="2" applyNumberFormat="1" applyFill="1" applyBorder="1" applyAlignment="1">
      <alignment horizontal="center" vertical="top"/>
    </xf>
    <xf fontId="0" fillId="10" borderId="29" numFmtId="0" xfId="0" applyFill="1" applyBorder="1" applyAlignment="1">
      <alignment horizontal="center"/>
    </xf>
    <xf fontId="4" fillId="9" borderId="15" numFmtId="49" xfId="0" applyNumberFormat="1" applyFont="1" applyFill="1" applyBorder="1"/>
    <xf fontId="0" fillId="12" borderId="13" numFmtId="160" xfId="2" applyNumberFormat="1" applyFill="1" applyBorder="1" applyAlignment="1" applyProtection="1">
      <alignment horizontal="center"/>
      <protection locked="0"/>
    </xf>
    <xf fontId="2" fillId="14" borderId="20" numFmtId="0" xfId="0" applyFont="1" applyFill="1" applyBorder="1" applyAlignment="1">
      <alignment vertical="top" wrapText="1"/>
    </xf>
    <xf fontId="2" fillId="14" borderId="23" numFmtId="0" xfId="0" applyFont="1" applyFill="1" applyBorder="1" applyAlignment="1">
      <alignment vertical="top" wrapText="1"/>
    </xf>
    <xf fontId="2" fillId="14" borderId="22" numFmtId="0" xfId="0" applyFont="1" applyFill="1" applyBorder="1" applyAlignment="1">
      <alignment vertical="top" wrapText="1"/>
    </xf>
    <xf fontId="0" fillId="10" borderId="10" numFmtId="160" xfId="2" applyNumberFormat="1" applyFill="1" applyBorder="1" applyAlignment="1" applyProtection="1">
      <alignment horizontal="center"/>
      <protection locked="0"/>
    </xf>
    <xf fontId="4" fillId="10" borderId="15" numFmtId="49" xfId="0" applyNumberFormat="1" applyFont="1" applyFill="1" applyBorder="1"/>
    <xf fontId="0" fillId="10" borderId="13" numFmtId="160" xfId="2" applyNumberFormat="1" applyFill="1" applyBorder="1" applyAlignment="1" applyProtection="1">
      <alignment horizontal="center"/>
      <protection locked="0"/>
    </xf>
    <xf fontId="0" fillId="15" borderId="30" numFmtId="0" xfId="0" applyFill="1" applyBorder="1" applyAlignment="1">
      <alignment horizontal="center" vertical="center"/>
    </xf>
    <xf fontId="0" fillId="15" borderId="31" numFmtId="0" xfId="0" applyFill="1" applyBorder="1" applyAlignment="1">
      <alignment horizontal="center" vertical="center"/>
    </xf>
    <xf fontId="0" fillId="15" borderId="32" numFmtId="0" xfId="0" applyFill="1" applyBorder="1" applyAlignment="1">
      <alignment horizontal="center" vertical="center"/>
    </xf>
    <xf fontId="0" fillId="16" borderId="15" numFmtId="0" xfId="0" applyFill="1" applyBorder="1" applyAlignment="1">
      <alignment horizontal="left" vertical="center"/>
    </xf>
    <xf fontId="0" fillId="11" borderId="15" numFmtId="0" xfId="0" applyFill="1" applyBorder="1"/>
    <xf fontId="0" fillId="7" borderId="15" numFmtId="0" xfId="0" applyFill="1" applyBorder="1" applyAlignment="1">
      <alignment horizontal="center"/>
    </xf>
    <xf fontId="0" fillId="0" borderId="0" numFmtId="0" xfId="0" applyAlignment="1">
      <alignment horizontal="left" vertical="center"/>
    </xf>
    <xf fontId="0" fillId="0" borderId="0" numFmtId="0" xfId="0" applyAlignment="1">
      <alignment horizontal="center"/>
    </xf>
    <xf fontId="11" fillId="17" borderId="15" numFmtId="0" xfId="0" applyFont="1" applyFill="1" applyBorder="1" applyAlignment="1">
      <alignment horizontal="center" vertical="center" wrapText="1"/>
    </xf>
    <xf fontId="12" fillId="17" borderId="15" numFmtId="0" xfId="0" applyFont="1" applyFill="1" applyBorder="1" applyAlignment="1">
      <alignment horizontal="center" vertical="center" wrapText="1"/>
    </xf>
    <xf fontId="13" fillId="0" borderId="0" numFmtId="0" xfId="0" applyFont="1"/>
    <xf fontId="11" fillId="18" borderId="17" numFmtId="0" xfId="0" applyFont="1" applyFill="1" applyBorder="1" applyAlignment="1">
      <alignment horizontal="center" vertical="center" wrapText="1"/>
    </xf>
    <xf fontId="13" fillId="12" borderId="17" numFmtId="0" xfId="0" applyFont="1" applyFill="1" applyBorder="1" applyAlignment="1">
      <alignment horizontal="left" vertical="center"/>
    </xf>
    <xf fontId="13" fillId="5" borderId="0" numFmtId="0" xfId="0" applyFont="1" applyFill="1"/>
    <xf fontId="13" fillId="12" borderId="13" numFmtId="0" xfId="0" applyFont="1" applyFill="1" applyBorder="1" applyAlignment="1" applyProtection="1">
      <alignment horizontal="center"/>
      <protection locked="0"/>
    </xf>
    <xf fontId="13" fillId="12" borderId="13" numFmtId="0" xfId="0" applyFont="1" applyFill="1" applyBorder="1" applyAlignment="1">
      <alignment horizontal="center"/>
    </xf>
    <xf fontId="14" fillId="19" borderId="33" numFmtId="0" xfId="0" applyFont="1" applyFill="1" applyBorder="1" applyAlignment="1">
      <alignment horizontal="center"/>
    </xf>
    <xf fontId="11" fillId="18" borderId="15" numFmtId="0" xfId="0" applyFont="1" applyFill="1" applyBorder="1" applyAlignment="1">
      <alignment horizontal="center" vertical="center" wrapText="1"/>
    </xf>
    <xf fontId="13" fillId="12" borderId="15" numFmtId="0" xfId="0" applyFont="1" applyFill="1" applyBorder="1" applyAlignment="1">
      <alignment horizontal="left" vertical="center"/>
    </xf>
    <xf fontId="13" fillId="12" borderId="11" numFmtId="0" xfId="0" applyFont="1" applyFill="1" applyBorder="1" applyAlignment="1" applyProtection="1">
      <alignment horizontal="center"/>
      <protection locked="0"/>
    </xf>
    <xf fontId="13" fillId="12" borderId="10" numFmtId="0" xfId="0" applyFont="1" applyFill="1" applyBorder="1" applyAlignment="1" applyProtection="1">
      <alignment horizontal="center"/>
      <protection locked="0"/>
    </xf>
    <xf fontId="13" fillId="12" borderId="10" numFmtId="160" xfId="2" applyNumberFormat="1" applyFont="1" applyFill="1" applyBorder="1" applyAlignment="1" applyProtection="1">
      <alignment horizontal="center"/>
      <protection locked="0"/>
    </xf>
    <xf fontId="13" fillId="12" borderId="13" numFmtId="162" xfId="2" applyNumberFormat="1" applyFont="1" applyFill="1" applyBorder="1" applyAlignment="1">
      <alignment horizontal="center" vertical="top"/>
    </xf>
    <xf fontId="12" fillId="6" borderId="14" numFmtId="0" xfId="0" applyFont="1" applyFill="1" applyBorder="1" applyAlignment="1">
      <alignment horizontal="center"/>
    </xf>
    <xf fontId="12" fillId="10" borderId="14" numFmtId="0" xfId="0" applyFont="1" applyFill="1" applyBorder="1" applyAlignment="1">
      <alignment horizontal="center"/>
    </xf>
    <xf fontId="13" fillId="12" borderId="11" numFmtId="0" xfId="0" applyFont="1" applyFill="1" applyBorder="1" applyAlignment="1">
      <alignment horizontal="center"/>
    </xf>
    <xf fontId="13" fillId="10" borderId="11" numFmtId="0" xfId="0" applyFont="1" applyFill="1" applyBorder="1" applyAlignment="1">
      <alignment horizontal="center"/>
    </xf>
    <xf fontId="13" fillId="10" borderId="14" numFmtId="0" xfId="0" applyFont="1" applyFill="1" applyBorder="1" applyAlignment="1">
      <alignment horizontal="center"/>
    </xf>
    <xf fontId="13" fillId="12" borderId="26" numFmtId="0" xfId="0" applyFont="1" applyFill="1" applyBorder="1" applyAlignment="1" applyProtection="1">
      <alignment horizontal="center"/>
      <protection locked="0"/>
    </xf>
    <xf fontId="13" fillId="12" borderId="24" numFmtId="162" xfId="2" applyNumberFormat="1" applyFont="1" applyFill="1" applyBorder="1" applyAlignment="1">
      <alignment horizontal="center" vertical="top"/>
    </xf>
    <xf fontId="13" fillId="12" borderId="15" numFmtId="162" xfId="2" applyNumberFormat="1" applyFont="1" applyFill="1" applyBorder="1" applyAlignment="1">
      <alignment horizontal="center" vertical="top"/>
    </xf>
    <xf fontId="13" fillId="12" borderId="29" numFmtId="0" xfId="0" applyFont="1" applyFill="1" applyBorder="1" applyAlignment="1">
      <alignment horizontal="center"/>
    </xf>
    <xf fontId="12" fillId="10" borderId="12" numFmtId="0" xfId="0" applyFont="1" applyFill="1" applyBorder="1" applyAlignment="1">
      <alignment horizontal="left"/>
    </xf>
    <xf fontId="13" fillId="12" borderId="13" numFmtId="160" xfId="2" applyNumberFormat="1" applyFont="1" applyFill="1" applyBorder="1" applyAlignment="1" applyProtection="1">
      <alignment horizontal="center"/>
      <protection locked="0"/>
    </xf>
  </cellXfs>
  <cellStyles count="3">
    <cellStyle name="Graphics" xfId="1"/>
    <cellStyle name="Millier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sharedStrings" Target="sharedStrings.xml"/><Relationship  Id="rId11" Type="http://schemas.openxmlformats.org/officeDocument/2006/relationships/worksheet" Target="worksheets/sheet11.xml"/><Relationship  Id="rId10" Type="http://schemas.openxmlformats.org/officeDocument/2006/relationships/worksheet" Target="worksheets/sheet10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styles" Target="styles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2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266703</xdr:colOff>
      <xdr:row>2</xdr:row>
      <xdr:rowOff>16011</xdr:rowOff>
    </xdr:from>
    <xdr:ext cx="1762121" cy="726937"/>
    <xdr:pic>
      <xdr:nvPicPr>
        <xdr:cNvPr id="3" name="Image 2" descr="C:\Users\MONGI SOUAYED\Desktop\ENER\LOGOs\ENER.jp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028703" y="406536"/>
          <a:ext cx="1762121" cy="72693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47625</xdr:colOff>
      <xdr:row>2</xdr:row>
      <xdr:rowOff>114300</xdr:rowOff>
    </xdr:from>
    <xdr:ext cx="1009650" cy="619125"/>
    <xdr:pic>
      <xdr:nvPicPr>
        <xdr:cNvPr id="3" name="Image 2" descr="C:\Users\MONGI SOUAYED\Desktop\ENER\LOGOs\ENER.jp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457200" y="504825"/>
          <a:ext cx="1009651" cy="6191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47625</xdr:colOff>
      <xdr:row>0</xdr:row>
      <xdr:rowOff>114300</xdr:rowOff>
    </xdr:from>
    <xdr:ext cx="1009650" cy="619125"/>
    <xdr:pic>
      <xdr:nvPicPr>
        <xdr:cNvPr id="2" name="Image 1" descr="C:\Users\MONGI SOUAYED\Desktop\ENER\LOGOs\ENER.jp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457200" y="504825"/>
          <a:ext cx="1009651" cy="6191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47625</xdr:colOff>
      <xdr:row>1</xdr:row>
      <xdr:rowOff>114300</xdr:rowOff>
    </xdr:from>
    <xdr:ext cx="1009650" cy="619125"/>
    <xdr:pic>
      <xdr:nvPicPr>
        <xdr:cNvPr id="2" name="Image 1" descr="C:\Users\MONGI SOUAYED\Desktop\ENER\LOGOs\ENER.jp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809625" y="114300"/>
          <a:ext cx="1009651" cy="6191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47625</xdr:colOff>
      <xdr:row>1</xdr:row>
      <xdr:rowOff>114300</xdr:rowOff>
    </xdr:from>
    <xdr:ext cx="1009650" cy="619125"/>
    <xdr:pic>
      <xdr:nvPicPr>
        <xdr:cNvPr id="2" name="Image 1" descr="C:\Users\MONGI SOUAYED\Desktop\ENER\LOGOs\ENER.jp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571625" y="314325"/>
          <a:ext cx="1009651" cy="6191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47625</xdr:colOff>
      <xdr:row>0</xdr:row>
      <xdr:rowOff>114300</xdr:rowOff>
    </xdr:from>
    <xdr:ext cx="1009650" cy="619125"/>
    <xdr:pic>
      <xdr:nvPicPr>
        <xdr:cNvPr id="2" name="Image 1" descr="C:\Users\MONGI SOUAYED\Desktop\ENER\LOGOs\ENER.jp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809625" y="314325"/>
          <a:ext cx="1009651" cy="6191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47625</xdr:colOff>
      <xdr:row>0</xdr:row>
      <xdr:rowOff>19050</xdr:rowOff>
    </xdr:from>
    <xdr:ext cx="1009650" cy="619125"/>
    <xdr:pic>
      <xdr:nvPicPr>
        <xdr:cNvPr id="2" name="Image 1" descr="C:\Users\MONGI SOUAYED\Desktop\ENER\LOGOs\ENER.jp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571500" y="19050"/>
          <a:ext cx="1009651" cy="6191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99061</xdr:colOff>
      <xdr:row>0</xdr:row>
      <xdr:rowOff>53340</xdr:rowOff>
    </xdr:from>
    <xdr:to>
      <xdr:col>1</xdr:col>
      <xdr:colOff>609601</xdr:colOff>
      <xdr:row>3</xdr:row>
      <xdr:rowOff>146685</xdr:rowOff>
    </xdr:to>
    <xdr:pic>
      <xdr:nvPicPr>
        <xdr:cNvPr id="3" name="Image 2" hidden="0"/>
        <xdr:cNvPicPr/>
      </xdr:nvPicPr>
      <xdr:blipFill>
        <a:blip r:embed="rId1"/>
        <a:stretch/>
      </xdr:blipFill>
      <xdr:spPr bwMode="auto">
        <a:xfrm>
          <a:off x="99061" y="53340"/>
          <a:ext cx="1303020" cy="6648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99061</xdr:colOff>
      <xdr:row>0</xdr:row>
      <xdr:rowOff>53340</xdr:rowOff>
    </xdr:from>
    <xdr:to>
      <xdr:col>1</xdr:col>
      <xdr:colOff>609601</xdr:colOff>
      <xdr:row>3</xdr:row>
      <xdr:rowOff>175260</xdr:rowOff>
    </xdr:to>
    <xdr:pic>
      <xdr:nvPicPr>
        <xdr:cNvPr id="2" name="Image 1" hidden="0"/>
        <xdr:cNvPicPr/>
      </xdr:nvPicPr>
      <xdr:blipFill>
        <a:blip r:embed="rId1"/>
        <a:stretch/>
      </xdr:blipFill>
      <xdr:spPr bwMode="auto">
        <a:xfrm>
          <a:off x="99061" y="53340"/>
          <a:ext cx="1272540" cy="693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99060</xdr:colOff>
      <xdr:row>0</xdr:row>
      <xdr:rowOff>53341</xdr:rowOff>
    </xdr:from>
    <xdr:to>
      <xdr:col>1</xdr:col>
      <xdr:colOff>640079</xdr:colOff>
      <xdr:row>3</xdr:row>
      <xdr:rowOff>160021</xdr:rowOff>
    </xdr:to>
    <xdr:pic>
      <xdr:nvPicPr>
        <xdr:cNvPr id="2" name="Image 1" hidden="0"/>
        <xdr:cNvPicPr/>
      </xdr:nvPicPr>
      <xdr:blipFill>
        <a:blip r:embed="rId1"/>
        <a:stretch/>
      </xdr:blipFill>
      <xdr:spPr bwMode="auto">
        <a:xfrm>
          <a:off x="99060" y="53341"/>
          <a:ext cx="1424939" cy="678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99060</xdr:colOff>
      <xdr:row>0</xdr:row>
      <xdr:rowOff>53341</xdr:rowOff>
    </xdr:from>
    <xdr:to>
      <xdr:col>1</xdr:col>
      <xdr:colOff>693419</xdr:colOff>
      <xdr:row>3</xdr:row>
      <xdr:rowOff>137161</xdr:rowOff>
    </xdr:to>
    <xdr:pic>
      <xdr:nvPicPr>
        <xdr:cNvPr id="2" name="Image 1" hidden="0"/>
        <xdr:cNvPicPr/>
      </xdr:nvPicPr>
      <xdr:blipFill>
        <a:blip r:embed="rId1"/>
        <a:stretch/>
      </xdr:blipFill>
      <xdr:spPr bwMode="auto">
        <a:xfrm>
          <a:off x="99060" y="53341"/>
          <a:ext cx="1386839" cy="655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6" activeCellId="0" sqref="I6"/>
    </sheetView>
  </sheetViews>
  <sheetFormatPr baseColWidth="10" defaultRowHeight="14.25"/>
  <cols>
    <col customWidth="1" min="1" max="1" width="21.33203125"/>
    <col customWidth="1" min="2" max="2" width="16.33203125"/>
    <col customWidth="1" min="3" max="3" width="19.6640625"/>
    <col customWidth="1" min="4" max="4" width="16.44140625"/>
    <col customWidth="1" min="5" max="5" width="12.6640625"/>
    <col customWidth="1" min="7" max="7" width="13.5546875"/>
    <col customWidth="1" min="8" max="8" width="7.6640625"/>
    <col customWidth="1" min="9" max="9" width="11.33203125"/>
  </cols>
  <sheetData>
    <row r="2" ht="15"/>
    <row r="3" ht="15">
      <c r="A3" s="1"/>
      <c r="B3" s="2"/>
      <c r="C3" s="3" t="s">
        <v>0</v>
      </c>
      <c r="D3" s="4"/>
      <c r="E3" s="4"/>
      <c r="F3" s="4"/>
      <c r="G3" s="5"/>
      <c r="H3" s="6" t="s">
        <v>1</v>
      </c>
      <c r="I3" s="6" t="s">
        <v>2</v>
      </c>
    </row>
    <row r="4" ht="15">
      <c r="A4" s="7"/>
      <c r="B4" s="8"/>
      <c r="C4" s="9"/>
      <c r="D4" s="10"/>
      <c r="E4" s="10"/>
      <c r="F4" s="10"/>
      <c r="G4" s="11"/>
      <c r="H4" s="6" t="s">
        <v>3</v>
      </c>
      <c r="I4" s="6">
        <v>1</v>
      </c>
    </row>
    <row r="5" ht="15.75" customHeight="1">
      <c r="A5" s="7"/>
      <c r="B5" s="8"/>
      <c r="C5" s="3" t="s">
        <v>4</v>
      </c>
      <c r="D5" s="4"/>
      <c r="E5" s="4"/>
      <c r="F5" s="4"/>
      <c r="G5" s="5"/>
      <c r="H5" s="6" t="s">
        <v>5</v>
      </c>
      <c r="I5" s="12">
        <v>41532</v>
      </c>
    </row>
    <row r="6" ht="15">
      <c r="A6" s="13"/>
      <c r="B6" s="14"/>
      <c r="C6" s="9"/>
      <c r="D6" s="10"/>
      <c r="E6" s="10"/>
      <c r="F6" s="10"/>
      <c r="G6" s="11"/>
      <c r="H6" s="6" t="s">
        <v>6</v>
      </c>
      <c r="I6" s="15">
        <v>1</v>
      </c>
    </row>
    <row r="7" ht="15">
      <c r="B7" s="16"/>
      <c r="C7" s="17"/>
      <c r="D7" s="17"/>
      <c r="E7" s="17"/>
      <c r="F7" s="17"/>
      <c r="G7" s="17"/>
      <c r="H7" s="18"/>
      <c r="I7" s="19"/>
    </row>
    <row r="8">
      <c r="A8" s="20" t="s">
        <v>7</v>
      </c>
      <c r="B8" s="21">
        <v>2013</v>
      </c>
      <c r="C8" s="17"/>
      <c r="D8" s="17"/>
      <c r="E8" s="17"/>
      <c r="F8" s="22" t="s">
        <v>8</v>
      </c>
      <c r="G8" s="23"/>
    </row>
    <row r="9">
      <c r="A9" s="24"/>
      <c r="B9" s="17"/>
      <c r="C9" s="17"/>
      <c r="D9" s="17"/>
      <c r="E9" s="17"/>
      <c r="F9" s="25" t="s">
        <v>9</v>
      </c>
      <c r="G9" s="26" t="s">
        <v>10</v>
      </c>
    </row>
    <row r="11" ht="15" customHeight="1">
      <c r="A11" s="27" t="s">
        <v>11</v>
      </c>
      <c r="B11" s="28" t="s">
        <v>12</v>
      </c>
      <c r="C11" s="29" t="s">
        <v>13</v>
      </c>
      <c r="D11" s="30" t="s">
        <v>14</v>
      </c>
      <c r="E11" s="28" t="s">
        <v>15</v>
      </c>
      <c r="F11" s="30" t="s">
        <v>16</v>
      </c>
      <c r="G11" s="27" t="s">
        <v>17</v>
      </c>
    </row>
    <row r="12" ht="15" customHeight="1">
      <c r="A12" s="31" t="s">
        <v>18</v>
      </c>
      <c r="B12" s="32" t="s">
        <v>19</v>
      </c>
      <c r="C12" s="33"/>
      <c r="D12" s="34"/>
      <c r="E12" s="34"/>
      <c r="F12" s="35"/>
      <c r="G12" s="35"/>
    </row>
    <row r="13" ht="15" customHeight="1">
      <c r="A13" s="31" t="s">
        <v>20</v>
      </c>
      <c r="B13" s="33" t="s">
        <v>21</v>
      </c>
      <c r="C13" s="33">
        <v>0.90000000000000002</v>
      </c>
      <c r="D13" s="33">
        <v>1.2</v>
      </c>
      <c r="E13" s="33">
        <v>0.69999999999999996</v>
      </c>
      <c r="F13" s="33">
        <f t="shared" ref="F13:F50" si="0">SUM(C13:E13)</f>
        <v>2.7999999999999998</v>
      </c>
      <c r="G13" s="25" t="s">
        <v>9</v>
      </c>
    </row>
    <row r="14" ht="15" customHeight="1">
      <c r="A14" s="31" t="s">
        <v>22</v>
      </c>
      <c r="B14" s="33" t="s">
        <v>23</v>
      </c>
      <c r="C14" s="33">
        <v>0.59999999999999998</v>
      </c>
      <c r="D14" s="33">
        <v>0.80000000000000004</v>
      </c>
      <c r="E14" s="33">
        <v>0.59999999999999998</v>
      </c>
      <c r="F14" s="33">
        <f t="shared" si="0"/>
        <v>2</v>
      </c>
      <c r="G14" s="25" t="s">
        <v>9</v>
      </c>
    </row>
    <row r="15" ht="15" customHeight="1">
      <c r="A15" s="31" t="s">
        <v>24</v>
      </c>
      <c r="B15" s="33" t="s">
        <v>25</v>
      </c>
      <c r="C15" s="33">
        <v>0.90000000000000002</v>
      </c>
      <c r="D15" s="33">
        <v>1.2</v>
      </c>
      <c r="E15" s="33">
        <v>0.82499999999999996</v>
      </c>
      <c r="F15" s="33">
        <f t="shared" si="0"/>
        <v>2.9249999999999998</v>
      </c>
      <c r="G15" s="25" t="s">
        <v>9</v>
      </c>
    </row>
    <row r="16" ht="18.75" customHeight="1">
      <c r="A16" s="36" t="s">
        <v>26</v>
      </c>
      <c r="B16" s="37" t="s">
        <v>27</v>
      </c>
      <c r="C16" s="38"/>
      <c r="D16" s="26"/>
      <c r="E16" s="26"/>
      <c r="F16" s="39"/>
      <c r="G16" s="26"/>
    </row>
    <row r="17" ht="15" customHeight="1">
      <c r="A17" s="31" t="s">
        <v>28</v>
      </c>
      <c r="B17" s="33" t="s">
        <v>29</v>
      </c>
      <c r="C17" s="33"/>
      <c r="D17" s="34"/>
      <c r="E17" s="34"/>
      <c r="F17" s="35"/>
      <c r="G17" s="34"/>
    </row>
    <row r="18" ht="15" customHeight="1">
      <c r="A18" s="31" t="s">
        <v>30</v>
      </c>
      <c r="B18" s="33" t="s">
        <v>31</v>
      </c>
      <c r="C18" s="33">
        <f t="shared" ref="C18:C19" si="1">3*0.3</f>
        <v>0.89999999999999991</v>
      </c>
      <c r="D18" s="33">
        <v>1.2</v>
      </c>
      <c r="E18" s="33">
        <v>0.59999999999999998</v>
      </c>
      <c r="F18" s="33">
        <f t="shared" si="0"/>
        <v>2.6999999999999997</v>
      </c>
      <c r="G18" s="25" t="s">
        <v>9</v>
      </c>
    </row>
    <row r="19" ht="15" customHeight="1">
      <c r="A19" s="31" t="s">
        <v>32</v>
      </c>
      <c r="B19" s="33" t="s">
        <v>33</v>
      </c>
      <c r="C19" s="33">
        <f t="shared" si="1"/>
        <v>0.89999999999999991</v>
      </c>
      <c r="D19" s="33">
        <v>1.2</v>
      </c>
      <c r="E19" s="33">
        <v>0.90000000000000002</v>
      </c>
      <c r="F19" s="33">
        <f t="shared" si="0"/>
        <v>2.9999999999999996</v>
      </c>
      <c r="G19" s="25" t="s">
        <v>9</v>
      </c>
    </row>
    <row r="20" ht="15" customHeight="1">
      <c r="A20" s="31" t="s">
        <v>34</v>
      </c>
      <c r="B20" s="33" t="s">
        <v>35</v>
      </c>
      <c r="C20" s="33">
        <v>0.90000000000000002</v>
      </c>
      <c r="D20" s="33">
        <v>1.2</v>
      </c>
      <c r="E20" s="33">
        <v>0.90000000000000002</v>
      </c>
      <c r="F20" s="33">
        <f t="shared" si="0"/>
        <v>3</v>
      </c>
      <c r="G20" s="25" t="s">
        <v>9</v>
      </c>
    </row>
    <row r="21" ht="15" customHeight="1"/>
    <row r="23">
      <c r="A23" s="20" t="s">
        <v>7</v>
      </c>
      <c r="B23" s="21">
        <v>2014</v>
      </c>
    </row>
    <row r="25" ht="30">
      <c r="A25" s="27" t="s">
        <v>11</v>
      </c>
      <c r="B25" s="28" t="s">
        <v>12</v>
      </c>
      <c r="C25" s="29" t="s">
        <v>13</v>
      </c>
      <c r="D25" s="30" t="s">
        <v>14</v>
      </c>
      <c r="E25" s="28" t="s">
        <v>15</v>
      </c>
      <c r="F25" s="30" t="s">
        <v>16</v>
      </c>
      <c r="G25" s="27" t="s">
        <v>17</v>
      </c>
    </row>
    <row r="26">
      <c r="A26" s="31" t="s">
        <v>18</v>
      </c>
      <c r="B26" s="32" t="s">
        <v>19</v>
      </c>
      <c r="C26" s="33"/>
      <c r="D26" s="33"/>
      <c r="E26" s="33"/>
      <c r="F26" s="33"/>
      <c r="G26" s="35"/>
    </row>
    <row r="27">
      <c r="A27" s="31" t="s">
        <v>20</v>
      </c>
      <c r="B27" s="33" t="s">
        <v>21</v>
      </c>
      <c r="C27" s="33">
        <v>0.90000000000000002</v>
      </c>
      <c r="D27" s="33">
        <v>1.2</v>
      </c>
      <c r="E27" s="33">
        <v>0.75</v>
      </c>
      <c r="F27" s="33">
        <f t="shared" si="0"/>
        <v>2.8500000000000001</v>
      </c>
      <c r="G27" s="25" t="s">
        <v>9</v>
      </c>
    </row>
    <row r="28">
      <c r="A28" s="31" t="s">
        <v>22</v>
      </c>
      <c r="B28" s="33" t="s">
        <v>23</v>
      </c>
      <c r="C28" s="33"/>
      <c r="D28" s="33"/>
      <c r="E28" s="33"/>
      <c r="F28" s="33"/>
      <c r="G28" s="34"/>
    </row>
    <row r="29">
      <c r="A29" s="31" t="s">
        <v>24</v>
      </c>
      <c r="B29" s="33" t="s">
        <v>25</v>
      </c>
      <c r="C29" s="33">
        <v>0.90000000000000002</v>
      </c>
      <c r="D29" s="33">
        <v>1.2</v>
      </c>
      <c r="E29" s="33">
        <v>0.90000000000000002</v>
      </c>
      <c r="F29" s="33">
        <f t="shared" si="0"/>
        <v>3</v>
      </c>
      <c r="G29" s="25" t="s">
        <v>9</v>
      </c>
    </row>
    <row r="30">
      <c r="A30" s="36" t="s">
        <v>26</v>
      </c>
      <c r="B30" s="37" t="s">
        <v>27</v>
      </c>
      <c r="C30" s="38"/>
      <c r="D30" s="26"/>
      <c r="E30" s="26"/>
      <c r="F30" s="39"/>
      <c r="G30" s="26"/>
    </row>
    <row r="31">
      <c r="A31" s="31" t="s">
        <v>28</v>
      </c>
      <c r="B31" s="33" t="s">
        <v>29</v>
      </c>
      <c r="C31" s="33">
        <v>0.90000000000000002</v>
      </c>
      <c r="D31" s="33">
        <v>0.90000000000000002</v>
      </c>
      <c r="E31" s="33">
        <v>0.52500000000000002</v>
      </c>
      <c r="F31" s="33">
        <f t="shared" si="0"/>
        <v>2.3250000000000002</v>
      </c>
      <c r="G31" s="25" t="s">
        <v>9</v>
      </c>
    </row>
    <row r="32">
      <c r="A32" s="31" t="s">
        <v>30</v>
      </c>
      <c r="B32" s="33" t="s">
        <v>31</v>
      </c>
      <c r="C32" s="33">
        <v>0.75</v>
      </c>
      <c r="D32" s="33">
        <v>1</v>
      </c>
      <c r="E32" s="33">
        <v>0.75</v>
      </c>
      <c r="F32" s="33">
        <f t="shared" si="0"/>
        <v>2.5</v>
      </c>
      <c r="G32" s="25" t="s">
        <v>9</v>
      </c>
    </row>
    <row r="33">
      <c r="A33" s="31" t="s">
        <v>32</v>
      </c>
      <c r="B33" s="33" t="s">
        <v>33</v>
      </c>
      <c r="C33" s="33"/>
      <c r="D33" s="33"/>
      <c r="E33" s="33"/>
      <c r="F33" s="33"/>
      <c r="G33" s="34"/>
    </row>
    <row r="34">
      <c r="A34" s="31" t="s">
        <v>34</v>
      </c>
      <c r="B34" s="33" t="s">
        <v>35</v>
      </c>
      <c r="C34" s="33"/>
      <c r="D34" s="33"/>
      <c r="E34" s="33"/>
      <c r="F34" s="33"/>
      <c r="G34" s="34"/>
    </row>
    <row r="37">
      <c r="A37" s="20" t="s">
        <v>7</v>
      </c>
      <c r="B37" s="21">
        <v>2015</v>
      </c>
    </row>
    <row r="39" ht="30">
      <c r="A39" s="27" t="s">
        <v>11</v>
      </c>
      <c r="B39" s="28" t="s">
        <v>12</v>
      </c>
      <c r="C39" s="29" t="s">
        <v>13</v>
      </c>
      <c r="D39" s="30" t="s">
        <v>14</v>
      </c>
      <c r="E39" s="28" t="s">
        <v>15</v>
      </c>
      <c r="F39" s="30" t="s">
        <v>16</v>
      </c>
      <c r="G39" s="40" t="s">
        <v>17</v>
      </c>
    </row>
    <row r="40">
      <c r="A40" s="31" t="s">
        <v>18</v>
      </c>
      <c r="B40" s="32" t="s">
        <v>19</v>
      </c>
      <c r="C40" s="41">
        <v>0.90000000000000002</v>
      </c>
      <c r="D40" s="42">
        <v>1.2</v>
      </c>
      <c r="E40" s="42">
        <v>0.90000000000000002</v>
      </c>
      <c r="F40" s="43">
        <f t="shared" si="0"/>
        <v>3</v>
      </c>
      <c r="G40" s="44" t="s">
        <v>9</v>
      </c>
    </row>
    <row r="41">
      <c r="A41" s="31" t="s">
        <v>20</v>
      </c>
      <c r="B41" s="33" t="s">
        <v>21</v>
      </c>
      <c r="C41" s="33"/>
      <c r="D41" s="34"/>
      <c r="E41" s="34"/>
      <c r="F41" s="35">
        <f t="shared" si="0"/>
        <v>0</v>
      </c>
      <c r="G41" s="45"/>
    </row>
    <row r="42">
      <c r="A42" s="31" t="s">
        <v>22</v>
      </c>
      <c r="B42" s="33" t="s">
        <v>23</v>
      </c>
      <c r="C42" s="33"/>
      <c r="D42" s="34"/>
      <c r="E42" s="34"/>
      <c r="F42" s="35">
        <f t="shared" si="0"/>
        <v>0</v>
      </c>
      <c r="G42" s="45"/>
    </row>
    <row r="43">
      <c r="A43" s="31" t="s">
        <v>24</v>
      </c>
      <c r="B43" s="33" t="s">
        <v>25</v>
      </c>
      <c r="C43" s="33"/>
      <c r="D43" s="34"/>
      <c r="E43" s="34"/>
      <c r="F43" s="35">
        <f t="shared" si="0"/>
        <v>0</v>
      </c>
      <c r="G43" s="45"/>
    </row>
    <row r="44">
      <c r="A44" s="36" t="s">
        <v>26</v>
      </c>
      <c r="B44" s="37" t="s">
        <v>27</v>
      </c>
      <c r="C44" s="38"/>
      <c r="D44" s="26"/>
      <c r="E44" s="26"/>
      <c r="F44" s="26">
        <f t="shared" si="0"/>
        <v>0</v>
      </c>
      <c r="G44" s="46"/>
    </row>
    <row r="45">
      <c r="A45" s="31" t="s">
        <v>28</v>
      </c>
      <c r="B45" s="33" t="s">
        <v>29</v>
      </c>
      <c r="C45" s="33"/>
      <c r="D45" s="34"/>
      <c r="E45" s="34"/>
      <c r="F45" s="35">
        <f t="shared" si="0"/>
        <v>0</v>
      </c>
      <c r="G45" s="45"/>
    </row>
    <row r="46">
      <c r="A46" s="31" t="s">
        <v>30</v>
      </c>
      <c r="B46" s="33" t="s">
        <v>31</v>
      </c>
      <c r="C46" s="43">
        <v>0.90000000000000002</v>
      </c>
      <c r="D46" s="43">
        <v>0.80000000000000004</v>
      </c>
      <c r="E46" s="43">
        <v>0.59999999999999998</v>
      </c>
      <c r="F46" s="43">
        <f t="shared" si="0"/>
        <v>2.3000000000000003</v>
      </c>
      <c r="G46" s="44" t="s">
        <v>9</v>
      </c>
    </row>
    <row r="47">
      <c r="A47" s="31" t="s">
        <v>32</v>
      </c>
      <c r="B47" s="33" t="s">
        <v>33</v>
      </c>
      <c r="C47" s="33"/>
      <c r="D47" s="34"/>
      <c r="E47" s="34"/>
      <c r="F47" s="35">
        <f t="shared" si="0"/>
        <v>0</v>
      </c>
      <c r="G47" s="45"/>
    </row>
    <row r="48">
      <c r="A48" s="31" t="s">
        <v>34</v>
      </c>
      <c r="B48" s="33" t="s">
        <v>35</v>
      </c>
      <c r="C48" s="33"/>
      <c r="D48" s="34"/>
      <c r="E48" s="34"/>
      <c r="F48" s="35">
        <f t="shared" si="0"/>
        <v>0</v>
      </c>
      <c r="G48" s="45"/>
    </row>
    <row r="49">
      <c r="A49" s="31" t="s">
        <v>36</v>
      </c>
      <c r="B49" s="33" t="s">
        <v>37</v>
      </c>
      <c r="C49" s="41">
        <v>0.90000000000000002</v>
      </c>
      <c r="D49" s="42">
        <v>1.2</v>
      </c>
      <c r="E49" s="42">
        <v>0.59999999999999998</v>
      </c>
      <c r="F49" s="43">
        <f t="shared" si="0"/>
        <v>2.7000000000000002</v>
      </c>
      <c r="G49" s="44" t="s">
        <v>9</v>
      </c>
    </row>
    <row r="50">
      <c r="A50" s="31" t="s">
        <v>38</v>
      </c>
      <c r="B50" s="33" t="s">
        <v>39</v>
      </c>
      <c r="C50" s="41">
        <v>0.90000000000000002</v>
      </c>
      <c r="D50" s="42">
        <v>1.2</v>
      </c>
      <c r="E50" s="42">
        <v>0.90000000000000002</v>
      </c>
      <c r="F50" s="43">
        <f t="shared" si="0"/>
        <v>3</v>
      </c>
      <c r="G50" s="44" t="s">
        <v>9</v>
      </c>
    </row>
    <row r="51">
      <c r="A51" s="31" t="s">
        <v>40</v>
      </c>
      <c r="B51" s="33" t="s">
        <v>41</v>
      </c>
      <c r="C51" s="41"/>
      <c r="D51" s="42"/>
      <c r="E51" s="42"/>
      <c r="F51" s="43"/>
      <c r="G51" s="44" t="s">
        <v>9</v>
      </c>
    </row>
    <row r="52">
      <c r="A52" s="31" t="s">
        <v>42</v>
      </c>
      <c r="B52" s="33" t="s">
        <v>43</v>
      </c>
      <c r="C52" s="41"/>
      <c r="D52" s="42"/>
      <c r="E52" s="42"/>
      <c r="F52" s="43"/>
      <c r="G52" s="44" t="s">
        <v>9</v>
      </c>
    </row>
  </sheetData>
  <sheetProtection autoFilter="1" deleteColumns="1" deleteRows="1" formatCells="1" formatColumns="1" formatRows="1" insertColumns="1" insertHyperlinks="1" insertRows="1" pivotTables="1" selectLockedCells="1" selectUnlockedCells="1" sheet="0" sort="1"/>
  <mergeCells count="4">
    <mergeCell ref="A3:B6"/>
    <mergeCell ref="C3:G4"/>
    <mergeCell ref="C5:G6"/>
    <mergeCell ref="F8:G8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100" firstPageNumber="4294967295" fitToWidth="0" fitToHeight="0" pageOrder="downThenOver" orientation="landscape" usePrinterDefaults="1" blackAndWhite="0" draft="0" cellComments="none" useFirstPageNumber="0" errors="displayed" horizontalDpi="2147483648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J5" activeCellId="0" sqref="J5"/>
    </sheetView>
  </sheetViews>
  <sheetFormatPr baseColWidth="10" defaultRowHeight="14.25"/>
  <cols>
    <col customWidth="1" min="1" max="1" width="6.109375"/>
    <col customWidth="1" min="2" max="2" width="5.5546875"/>
    <col customWidth="1" min="3" max="3" width="13.33203125"/>
    <col customWidth="1" min="4" max="4" width="20.44140625"/>
    <col customWidth="1" min="5" max="5" width="18.5546875"/>
    <col customWidth="1" min="6" max="6" width="16.44140625"/>
  </cols>
  <sheetData>
    <row r="2" ht="15"/>
    <row r="3" ht="15">
      <c r="B3" s="1"/>
      <c r="C3" s="2"/>
      <c r="D3" s="3" t="s">
        <v>0</v>
      </c>
      <c r="E3" s="4"/>
      <c r="F3" s="4"/>
      <c r="G3" s="4"/>
      <c r="H3" s="5"/>
      <c r="I3" s="6" t="s">
        <v>1</v>
      </c>
      <c r="J3" s="6" t="s">
        <v>44</v>
      </c>
    </row>
    <row r="4" ht="15">
      <c r="B4" s="7"/>
      <c r="C4" s="8"/>
      <c r="D4" s="9"/>
      <c r="E4" s="10"/>
      <c r="F4" s="10"/>
      <c r="G4" s="10"/>
      <c r="H4" s="11"/>
      <c r="I4" s="6" t="s">
        <v>3</v>
      </c>
      <c r="J4" s="6">
        <v>1</v>
      </c>
    </row>
    <row r="5" ht="15">
      <c r="B5" s="7"/>
      <c r="C5" s="8"/>
      <c r="D5" s="3" t="s">
        <v>4</v>
      </c>
      <c r="E5" s="4"/>
      <c r="F5" s="4"/>
      <c r="G5" s="4"/>
      <c r="H5" s="5"/>
      <c r="I5" s="6" t="s">
        <v>5</v>
      </c>
      <c r="J5" s="12">
        <v>41532</v>
      </c>
    </row>
    <row r="6" ht="15">
      <c r="B6" s="13"/>
      <c r="C6" s="14"/>
      <c r="D6" s="9"/>
      <c r="E6" s="10"/>
      <c r="F6" s="10"/>
      <c r="G6" s="10"/>
      <c r="H6" s="11"/>
      <c r="I6" s="6" t="s">
        <v>6</v>
      </c>
      <c r="J6" s="47" t="s">
        <v>45</v>
      </c>
    </row>
    <row r="7" ht="15">
      <c r="C7" s="16"/>
      <c r="D7" s="17"/>
      <c r="E7" s="17"/>
      <c r="F7" s="17"/>
      <c r="G7" s="17"/>
      <c r="H7" s="17"/>
      <c r="I7" s="18"/>
      <c r="J7" s="19"/>
    </row>
    <row r="8">
      <c r="D8" s="22" t="s">
        <v>8</v>
      </c>
      <c r="E8" s="23"/>
      <c r="F8" s="17"/>
    </row>
    <row r="9">
      <c r="D9" s="25" t="s">
        <v>9</v>
      </c>
      <c r="E9" s="46" t="s">
        <v>10</v>
      </c>
      <c r="F9" s="17"/>
    </row>
    <row r="10">
      <c r="D10" s="48"/>
      <c r="E10" t="s">
        <v>46</v>
      </c>
    </row>
    <row r="11">
      <c r="M11" s="49"/>
    </row>
    <row r="12">
      <c r="C12" s="20" t="s">
        <v>7</v>
      </c>
      <c r="D12" s="21">
        <v>2016</v>
      </c>
    </row>
    <row r="14" ht="30">
      <c r="C14" s="27" t="s">
        <v>11</v>
      </c>
      <c r="D14" s="28" t="s">
        <v>12</v>
      </c>
      <c r="E14" s="30" t="s">
        <v>13</v>
      </c>
      <c r="F14" s="30" t="s">
        <v>14</v>
      </c>
      <c r="G14" s="50" t="s">
        <v>15</v>
      </c>
      <c r="H14" s="30" t="s">
        <v>16</v>
      </c>
      <c r="I14" s="40" t="s">
        <v>17</v>
      </c>
    </row>
    <row r="15" ht="15.75" customHeight="1">
      <c r="C15" s="51" t="s">
        <v>18</v>
      </c>
      <c r="D15" s="52" t="s">
        <v>19</v>
      </c>
      <c r="E15" s="48"/>
      <c r="F15" s="53"/>
      <c r="G15" s="53"/>
      <c r="H15" s="43"/>
      <c r="I15" s="54"/>
    </row>
    <row r="16">
      <c r="C16" s="31" t="s">
        <v>20</v>
      </c>
      <c r="D16" s="33" t="s">
        <v>21</v>
      </c>
      <c r="E16" s="55">
        <f>2*0.3</f>
        <v>0.59999999999999998</v>
      </c>
      <c r="F16" s="56">
        <v>1.2</v>
      </c>
      <c r="G16" s="56">
        <v>0.59999999999999998</v>
      </c>
      <c r="H16" s="57"/>
      <c r="I16" s="44"/>
    </row>
    <row r="17">
      <c r="C17" s="51" t="s">
        <v>22</v>
      </c>
      <c r="D17" s="41" t="s">
        <v>23</v>
      </c>
      <c r="E17" s="58"/>
      <c r="F17" s="53"/>
      <c r="G17" s="53"/>
      <c r="H17" s="43"/>
      <c r="I17" s="54"/>
    </row>
    <row r="18">
      <c r="C18" s="51" t="s">
        <v>24</v>
      </c>
      <c r="D18" s="41" t="s">
        <v>25</v>
      </c>
      <c r="E18" s="58"/>
      <c r="F18" s="53"/>
      <c r="G18" s="53"/>
      <c r="H18" s="43"/>
      <c r="I18" s="54"/>
    </row>
    <row r="19">
      <c r="C19" s="31" t="s">
        <v>28</v>
      </c>
      <c r="D19" s="33" t="s">
        <v>29</v>
      </c>
      <c r="E19" s="55">
        <v>0.90000000000000002</v>
      </c>
      <c r="F19" s="56">
        <f>0.4*2</f>
        <v>0.80000000000000004</v>
      </c>
      <c r="G19" s="56">
        <v>0.59999999999999998</v>
      </c>
      <c r="H19" s="57">
        <f t="shared" ref="H19:H26" si="2">SUM(E19:G19)</f>
        <v>2.3000000000000003</v>
      </c>
      <c r="I19" s="44" t="s">
        <v>9</v>
      </c>
    </row>
    <row r="20">
      <c r="C20" s="51" t="s">
        <v>30</v>
      </c>
      <c r="D20" s="41" t="s">
        <v>31</v>
      </c>
      <c r="E20" s="59"/>
      <c r="F20" s="59"/>
      <c r="G20" s="59"/>
      <c r="H20" s="43"/>
      <c r="I20" s="54"/>
    </row>
    <row r="21">
      <c r="C21" s="31" t="s">
        <v>34</v>
      </c>
      <c r="D21" s="33" t="s">
        <v>35</v>
      </c>
      <c r="E21" s="55">
        <v>0.90000000000000002</v>
      </c>
      <c r="F21" s="56">
        <f>0.4*3</f>
        <v>1.2000000000000002</v>
      </c>
      <c r="G21" s="56">
        <f>0.3*2</f>
        <v>0.59999999999999998</v>
      </c>
      <c r="H21" s="57">
        <f t="shared" si="2"/>
        <v>2.7000000000000002</v>
      </c>
      <c r="I21" s="44" t="s">
        <v>9</v>
      </c>
    </row>
    <row r="22">
      <c r="C22" s="51" t="s">
        <v>38</v>
      </c>
      <c r="D22" s="41" t="s">
        <v>39</v>
      </c>
      <c r="E22" s="58"/>
      <c r="F22" s="53"/>
      <c r="G22" s="53"/>
      <c r="H22" s="43"/>
      <c r="I22" s="54"/>
    </row>
    <row r="23">
      <c r="C23" s="31" t="s">
        <v>40</v>
      </c>
      <c r="D23" s="33" t="s">
        <v>41</v>
      </c>
      <c r="E23" s="55">
        <f>2*0.3</f>
        <v>0.59999999999999998</v>
      </c>
      <c r="F23" s="56">
        <f>2*0.4</f>
        <v>0.80000000000000004</v>
      </c>
      <c r="G23" s="56">
        <v>0.59999999999999998</v>
      </c>
      <c r="H23" s="57">
        <f t="shared" si="2"/>
        <v>2</v>
      </c>
      <c r="I23" s="44" t="s">
        <v>9</v>
      </c>
    </row>
    <row r="24">
      <c r="C24" s="51" t="s">
        <v>32</v>
      </c>
      <c r="D24" s="41" t="s">
        <v>43</v>
      </c>
      <c r="E24" s="58"/>
      <c r="F24" s="53"/>
      <c r="G24" s="53"/>
      <c r="H24" s="43"/>
      <c r="I24" s="54"/>
    </row>
    <row r="25">
      <c r="C25" s="31" t="s">
        <v>40</v>
      </c>
      <c r="D25" s="33" t="s">
        <v>47</v>
      </c>
      <c r="E25" s="55">
        <v>0.90000000000000002</v>
      </c>
      <c r="F25" s="56">
        <f>0.4*3</f>
        <v>1.2000000000000002</v>
      </c>
      <c r="G25" s="56">
        <v>0.59999999999999998</v>
      </c>
      <c r="H25" s="57">
        <f t="shared" si="2"/>
        <v>2.7000000000000002</v>
      </c>
      <c r="I25" s="44" t="s">
        <v>9</v>
      </c>
    </row>
    <row r="26">
      <c r="C26" s="31" t="s">
        <v>42</v>
      </c>
      <c r="D26" s="33" t="s">
        <v>48</v>
      </c>
      <c r="E26" s="55">
        <v>0.90000000000000002</v>
      </c>
      <c r="F26" s="56">
        <v>1.2</v>
      </c>
      <c r="G26" s="56">
        <v>0.59999999999999998</v>
      </c>
      <c r="H26" s="57">
        <f t="shared" si="2"/>
        <v>2.7000000000000002</v>
      </c>
      <c r="I26" s="44" t="s">
        <v>9</v>
      </c>
    </row>
    <row r="28">
      <c r="D28" s="60" t="s">
        <v>49</v>
      </c>
      <c r="E28" s="61" t="s">
        <v>50</v>
      </c>
      <c r="F28" s="61" t="s">
        <v>51</v>
      </c>
    </row>
    <row r="29">
      <c r="D29" s="60" t="s">
        <v>52</v>
      </c>
      <c r="E29" s="60" t="s">
        <v>52</v>
      </c>
      <c r="F29" s="61" t="s">
        <v>53</v>
      </c>
    </row>
    <row r="30">
      <c r="D30" s="62"/>
      <c r="E30" s="63"/>
      <c r="F30" s="63"/>
    </row>
    <row r="31">
      <c r="D31" s="64"/>
      <c r="E31" s="65"/>
      <c r="F31" s="65"/>
    </row>
  </sheetData>
  <sheetProtection algorithmName="SHA-512" hashValue="xxW9o9Fki6QCH7MMa3YS6p6h52eIv00jrttpKYpw4UEwxRppzQp+mFzHqTvhCSIWsWT32bdcqBR8Gh48vpoJRg==" saltValue="FUBQvPNmHerO5MRbnXfQlw==" spinCount="100000" autoFilter="1" deleteColumns="1" deleteRows="1" formatCells="1" formatColumns="1" formatRows="1" insertColumns="1" insertHyperlinks="1" insertRows="1" objects="1" pivotTables="1" scenarios="1" selectLockedCells="1" selectUnlockedCells="1" sheet="1" sort="1"/>
  <mergeCells count="7">
    <mergeCell ref="B3:C6"/>
    <mergeCell ref="D3:H4"/>
    <mergeCell ref="D5:H6"/>
    <mergeCell ref="D8:E8"/>
    <mergeCell ref="D30:D31"/>
    <mergeCell ref="E30:E31"/>
    <mergeCell ref="F30:F31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2147483648" verticalDpi="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M28" activeCellId="0" sqref="M28"/>
    </sheetView>
  </sheetViews>
  <sheetFormatPr baseColWidth="10" defaultRowHeight="14.25"/>
  <cols>
    <col customWidth="1" min="1" max="1" width="7.6640625"/>
    <col customWidth="1" min="2" max="2" width="11.109375"/>
    <col customWidth="1" min="3" max="4" width="17.6640625"/>
    <col customWidth="1" min="5" max="5" width="15.5546875"/>
  </cols>
  <sheetData>
    <row r="1" ht="15">
      <c r="A1" s="1"/>
      <c r="B1" s="2"/>
      <c r="C1" s="3" t="s">
        <v>0</v>
      </c>
      <c r="D1" s="4"/>
      <c r="E1" s="4"/>
      <c r="F1" s="4"/>
      <c r="G1" s="5"/>
      <c r="H1" s="6" t="s">
        <v>1</v>
      </c>
      <c r="I1" s="6" t="s">
        <v>44</v>
      </c>
    </row>
    <row r="2" ht="15">
      <c r="A2" s="7"/>
      <c r="B2" s="8"/>
      <c r="C2" s="9"/>
      <c r="D2" s="10"/>
      <c r="E2" s="10"/>
      <c r="F2" s="10"/>
      <c r="G2" s="11"/>
      <c r="H2" s="6" t="s">
        <v>3</v>
      </c>
      <c r="I2" s="6">
        <v>1</v>
      </c>
    </row>
    <row r="3" ht="15">
      <c r="A3" s="7"/>
      <c r="B3" s="8"/>
      <c r="C3" s="3" t="s">
        <v>4</v>
      </c>
      <c r="D3" s="4"/>
      <c r="E3" s="4"/>
      <c r="F3" s="4"/>
      <c r="G3" s="5"/>
      <c r="H3" s="6" t="s">
        <v>5</v>
      </c>
      <c r="I3" s="12">
        <v>41532</v>
      </c>
    </row>
    <row r="4" ht="15">
      <c r="A4" s="13"/>
      <c r="B4" s="14"/>
      <c r="C4" s="9"/>
      <c r="D4" s="10"/>
      <c r="E4" s="10"/>
      <c r="F4" s="10"/>
      <c r="G4" s="11"/>
      <c r="H4" s="6" t="s">
        <v>6</v>
      </c>
      <c r="I4" s="47" t="s">
        <v>45</v>
      </c>
    </row>
    <row r="5">
      <c r="B5" s="16"/>
      <c r="C5" s="66" t="s">
        <v>7</v>
      </c>
      <c r="D5" s="67">
        <v>2017</v>
      </c>
      <c r="E5" s="17"/>
      <c r="F5" s="17"/>
      <c r="G5" s="17"/>
      <c r="H5" s="18"/>
    </row>
    <row r="6">
      <c r="C6" s="22" t="s">
        <v>8</v>
      </c>
      <c r="D6" s="23"/>
      <c r="E6" s="17"/>
    </row>
    <row r="7">
      <c r="C7" s="25" t="s">
        <v>9</v>
      </c>
      <c r="D7" s="46" t="s">
        <v>10</v>
      </c>
      <c r="E7" s="17"/>
    </row>
    <row r="8">
      <c r="C8" s="48"/>
      <c r="D8" t="s">
        <v>46</v>
      </c>
    </row>
    <row r="10" ht="28.5">
      <c r="B10" s="68" t="s">
        <v>11</v>
      </c>
      <c r="C10" s="69" t="s">
        <v>12</v>
      </c>
      <c r="D10" s="70" t="s">
        <v>13</v>
      </c>
      <c r="E10" s="70" t="s">
        <v>14</v>
      </c>
      <c r="F10" s="71" t="s">
        <v>15</v>
      </c>
      <c r="G10" s="70" t="s">
        <v>16</v>
      </c>
      <c r="H10" s="72" t="s">
        <v>17</v>
      </c>
    </row>
    <row r="11">
      <c r="B11" s="51" t="s">
        <v>18</v>
      </c>
      <c r="C11" s="52" t="s">
        <v>19</v>
      </c>
      <c r="D11" s="48"/>
      <c r="E11" s="53"/>
      <c r="F11" s="53"/>
      <c r="G11" s="43"/>
      <c r="H11" s="54"/>
    </row>
    <row r="12">
      <c r="B12" s="31" t="s">
        <v>20</v>
      </c>
      <c r="C12" s="33" t="s">
        <v>21</v>
      </c>
      <c r="D12" s="55">
        <f>3*0.3</f>
        <v>0.89999999999999991</v>
      </c>
      <c r="E12" s="56">
        <f>3*0.4</f>
        <v>1.2000000000000002</v>
      </c>
      <c r="F12" s="73">
        <f>2.33*0.3</f>
        <v>0.69899999999999995</v>
      </c>
      <c r="G12" s="74">
        <f>SUM(D12:F12)</f>
        <v>2.7989999999999999</v>
      </c>
      <c r="H12" s="44" t="s">
        <v>9</v>
      </c>
    </row>
    <row r="13">
      <c r="B13" s="51" t="s">
        <v>22</v>
      </c>
      <c r="C13" s="41" t="s">
        <v>23</v>
      </c>
      <c r="D13" s="58"/>
      <c r="E13" s="53"/>
      <c r="F13" s="53"/>
      <c r="G13" s="75"/>
      <c r="H13" s="54"/>
    </row>
    <row r="14">
      <c r="B14" s="31" t="s">
        <v>24</v>
      </c>
      <c r="C14" s="33" t="s">
        <v>25</v>
      </c>
      <c r="D14" s="55">
        <f t="shared" ref="D14:D25" si="3">3*0.3</f>
        <v>0.89999999999999991</v>
      </c>
      <c r="E14" s="56">
        <f t="shared" ref="E14:E25" si="4">3*0.4</f>
        <v>1.2000000000000002</v>
      </c>
      <c r="F14" s="73">
        <f>3*0.3</f>
        <v>0.89999999999999991</v>
      </c>
      <c r="G14" s="74">
        <f t="shared" ref="G14:G25" si="5">SUM(D14:F14)</f>
        <v>3</v>
      </c>
      <c r="H14" s="44" t="s">
        <v>9</v>
      </c>
    </row>
    <row r="15">
      <c r="B15" s="31" t="s">
        <v>28</v>
      </c>
      <c r="C15" s="33" t="s">
        <v>29</v>
      </c>
      <c r="D15" s="55">
        <f t="shared" si="3"/>
        <v>0.89999999999999991</v>
      </c>
      <c r="E15" s="56">
        <f t="shared" si="4"/>
        <v>1.2000000000000002</v>
      </c>
      <c r="F15" s="73">
        <f>2*0.3</f>
        <v>0.59999999999999998</v>
      </c>
      <c r="G15" s="74">
        <f t="shared" si="5"/>
        <v>2.7000000000000002</v>
      </c>
      <c r="H15" s="44" t="s">
        <v>9</v>
      </c>
    </row>
    <row r="16">
      <c r="B16" s="51" t="s">
        <v>30</v>
      </c>
      <c r="C16" s="41" t="s">
        <v>31</v>
      </c>
      <c r="D16" s="59"/>
      <c r="E16" s="59"/>
      <c r="F16" s="59"/>
      <c r="G16" s="75"/>
      <c r="H16" s="54"/>
    </row>
    <row r="17">
      <c r="B17" s="41" t="s">
        <v>34</v>
      </c>
      <c r="C17" s="41" t="s">
        <v>35</v>
      </c>
      <c r="D17" s="41"/>
      <c r="E17" s="41"/>
      <c r="F17" s="41"/>
      <c r="G17" s="75"/>
      <c r="H17" s="41"/>
    </row>
    <row r="18">
      <c r="B18" s="31" t="s">
        <v>38</v>
      </c>
      <c r="C18" s="33" t="s">
        <v>54</v>
      </c>
      <c r="D18" s="55">
        <f t="shared" si="3"/>
        <v>0.89999999999999991</v>
      </c>
      <c r="E18" s="56">
        <f t="shared" si="4"/>
        <v>1.2000000000000002</v>
      </c>
      <c r="F18" s="73">
        <f t="shared" ref="F18:F23" si="6">3*0.3</f>
        <v>0.89999999999999991</v>
      </c>
      <c r="G18" s="74">
        <f t="shared" si="5"/>
        <v>3</v>
      </c>
      <c r="H18" s="44" t="s">
        <v>9</v>
      </c>
    </row>
    <row r="19">
      <c r="B19" s="31" t="s">
        <v>40</v>
      </c>
      <c r="C19" s="33" t="s">
        <v>41</v>
      </c>
      <c r="D19" s="55">
        <f t="shared" si="3"/>
        <v>0.89999999999999991</v>
      </c>
      <c r="E19" s="56">
        <f t="shared" si="4"/>
        <v>1.2000000000000002</v>
      </c>
      <c r="F19" s="73">
        <f t="shared" si="6"/>
        <v>0.89999999999999991</v>
      </c>
      <c r="G19" s="74">
        <f t="shared" si="5"/>
        <v>3</v>
      </c>
      <c r="H19" s="44" t="s">
        <v>9</v>
      </c>
    </row>
    <row r="20">
      <c r="B20" s="51" t="s">
        <v>32</v>
      </c>
      <c r="C20" s="41" t="s">
        <v>43</v>
      </c>
      <c r="D20" s="58"/>
      <c r="E20" s="53"/>
      <c r="F20" s="53"/>
      <c r="G20" s="75"/>
      <c r="H20" s="54"/>
    </row>
    <row r="21">
      <c r="B21" s="31" t="s">
        <v>40</v>
      </c>
      <c r="C21" s="33" t="s">
        <v>47</v>
      </c>
      <c r="D21" s="55">
        <f t="shared" si="3"/>
        <v>0.89999999999999991</v>
      </c>
      <c r="E21" s="56">
        <f t="shared" si="4"/>
        <v>1.2000000000000002</v>
      </c>
      <c r="F21" s="73">
        <f t="shared" si="6"/>
        <v>0.89999999999999991</v>
      </c>
      <c r="G21" s="74">
        <f t="shared" si="5"/>
        <v>3</v>
      </c>
      <c r="H21" s="44" t="s">
        <v>9</v>
      </c>
    </row>
    <row r="22">
      <c r="B22" s="31" t="s">
        <v>42</v>
      </c>
      <c r="C22" s="33" t="s">
        <v>48</v>
      </c>
      <c r="D22" s="55">
        <v>0.90000000000000002</v>
      </c>
      <c r="E22" s="56">
        <v>1.2</v>
      </c>
      <c r="F22" s="56">
        <v>0.59999999999999998</v>
      </c>
      <c r="G22" s="74">
        <f t="shared" si="5"/>
        <v>2.7000000000000002</v>
      </c>
      <c r="H22" s="44" t="s">
        <v>9</v>
      </c>
    </row>
    <row r="23">
      <c r="B23" s="31" t="s">
        <v>55</v>
      </c>
      <c r="C23" s="31" t="s">
        <v>56</v>
      </c>
      <c r="D23" s="55">
        <f t="shared" si="3"/>
        <v>0.89999999999999991</v>
      </c>
      <c r="E23" s="56">
        <f t="shared" si="4"/>
        <v>1.2000000000000002</v>
      </c>
      <c r="F23" s="73">
        <f t="shared" si="6"/>
        <v>0.89999999999999991</v>
      </c>
      <c r="G23" s="74">
        <f t="shared" si="5"/>
        <v>3</v>
      </c>
      <c r="H23" s="44" t="s">
        <v>9</v>
      </c>
    </row>
    <row r="24">
      <c r="B24" s="51" t="s">
        <v>57</v>
      </c>
      <c r="C24" s="52" t="s">
        <v>58</v>
      </c>
      <c r="D24" s="53"/>
      <c r="E24" s="53"/>
      <c r="F24" s="53"/>
      <c r="G24" s="75"/>
      <c r="H24" s="54"/>
    </row>
    <row r="25">
      <c r="B25" s="31" t="s">
        <v>59</v>
      </c>
      <c r="C25" s="31" t="s">
        <v>60</v>
      </c>
      <c r="D25" s="56">
        <f t="shared" si="3"/>
        <v>0.89999999999999991</v>
      </c>
      <c r="E25" s="73">
        <f t="shared" si="4"/>
        <v>1.2000000000000002</v>
      </c>
      <c r="F25" s="74">
        <f>2*0.3</f>
        <v>0.59999999999999998</v>
      </c>
      <c r="G25" s="74">
        <f t="shared" si="5"/>
        <v>2.7000000000000002</v>
      </c>
      <c r="H25" s="44" t="s">
        <v>9</v>
      </c>
    </row>
    <row r="26" ht="15"/>
    <row r="27" ht="15">
      <c r="B27" s="76"/>
      <c r="C27" s="77" t="s">
        <v>61</v>
      </c>
      <c r="D27" s="77" t="s">
        <v>62</v>
      </c>
      <c r="E27" s="77" t="s">
        <v>63</v>
      </c>
    </row>
    <row r="28" ht="28.5">
      <c r="B28" s="78" t="s">
        <v>64</v>
      </c>
      <c r="C28" s="79" t="s">
        <v>65</v>
      </c>
      <c r="D28" s="79" t="s">
        <v>66</v>
      </c>
      <c r="E28" s="79" t="s">
        <v>66</v>
      </c>
    </row>
    <row r="29" ht="15">
      <c r="B29" s="80" t="s">
        <v>67</v>
      </c>
      <c r="C29" s="79" t="s">
        <v>68</v>
      </c>
      <c r="D29" s="79" t="s">
        <v>69</v>
      </c>
      <c r="E29" s="79" t="s">
        <v>70</v>
      </c>
    </row>
    <row r="30">
      <c r="B30" s="81" t="s">
        <v>71</v>
      </c>
      <c r="C30" s="82"/>
      <c r="D30" s="82"/>
      <c r="E30" s="82"/>
    </row>
    <row r="31" ht="15">
      <c r="B31" s="80"/>
      <c r="C31" s="83"/>
      <c r="D31" s="83"/>
      <c r="E31" s="83"/>
    </row>
  </sheetData>
  <sheetProtection algorithmName="SHA-512" hashValue="V2xBPdZcoeQ614Gbwosgyz9OVR48UWjGLoyome4zdkKLXCVebdDge1s6kVocMU9U64wk9KlL4FiqoawW8HHCmg==" saltValue="Q/LjYoZ60a1Z5RQtB6HaPw==" spinCount="100000" autoFilter="1" deleteColumns="1" deleteRows="1" formatCells="1" formatColumns="1" formatRows="1" insertColumns="1" insertHyperlinks="1" insertRows="1" objects="1" pivotTables="1" scenarios="1" selectLockedCells="1" selectUnlockedCells="1" sheet="1" sort="1"/>
  <mergeCells count="8">
    <mergeCell ref="A1:B4"/>
    <mergeCell ref="C1:G2"/>
    <mergeCell ref="C3:G4"/>
    <mergeCell ref="C6:D6"/>
    <mergeCell ref="B30:B31"/>
    <mergeCell ref="C30:C31"/>
    <mergeCell ref="D30:D31"/>
    <mergeCell ref="E30:E31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2147483648" verticalDpi="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M17" activeCellId="0" sqref="M17"/>
    </sheetView>
  </sheetViews>
  <sheetFormatPr baseColWidth="10" defaultRowHeight="14.25"/>
  <cols>
    <col customWidth="1" min="6" max="6" width="12.88671875"/>
    <col customWidth="1" min="7" max="7" width="13.5546875"/>
  </cols>
  <sheetData>
    <row r="1" ht="15"/>
    <row r="2" ht="15">
      <c r="C2" s="1"/>
      <c r="D2" s="2"/>
      <c r="E2" s="3" t="s">
        <v>0</v>
      </c>
      <c r="F2" s="4"/>
      <c r="G2" s="4"/>
      <c r="H2" s="4"/>
      <c r="I2" s="5"/>
      <c r="J2" s="6" t="s">
        <v>1</v>
      </c>
      <c r="K2" s="6" t="s">
        <v>44</v>
      </c>
    </row>
    <row r="3" ht="15">
      <c r="C3" s="7"/>
      <c r="D3" s="8"/>
      <c r="E3" s="9"/>
      <c r="F3" s="10"/>
      <c r="G3" s="10"/>
      <c r="H3" s="10"/>
      <c r="I3" s="11"/>
      <c r="J3" s="6" t="s">
        <v>3</v>
      </c>
      <c r="K3" s="6">
        <v>1</v>
      </c>
    </row>
    <row r="4" ht="15">
      <c r="C4" s="7"/>
      <c r="D4" s="8"/>
      <c r="E4" s="3" t="s">
        <v>4</v>
      </c>
      <c r="F4" s="4"/>
      <c r="G4" s="4"/>
      <c r="H4" s="4"/>
      <c r="I4" s="5"/>
      <c r="J4" s="6" t="s">
        <v>5</v>
      </c>
      <c r="K4" s="12">
        <v>41532</v>
      </c>
    </row>
    <row r="5" ht="15">
      <c r="C5" s="13"/>
      <c r="D5" s="14"/>
      <c r="E5" s="9"/>
      <c r="F5" s="10"/>
      <c r="G5" s="10"/>
      <c r="H5" s="10"/>
      <c r="I5" s="11"/>
      <c r="J5" s="6" t="s">
        <v>6</v>
      </c>
      <c r="K5" s="47" t="s">
        <v>45</v>
      </c>
    </row>
    <row r="6">
      <c r="D6" s="16"/>
      <c r="E6" s="66" t="s">
        <v>7</v>
      </c>
      <c r="F6" s="67">
        <v>2018</v>
      </c>
      <c r="G6" s="17"/>
      <c r="H6" s="17"/>
      <c r="I6" s="17"/>
      <c r="J6" s="18"/>
    </row>
    <row r="7">
      <c r="E7" s="22" t="s">
        <v>8</v>
      </c>
      <c r="F7" s="23"/>
      <c r="G7" s="17"/>
    </row>
    <row r="8">
      <c r="E8" s="25" t="s">
        <v>9</v>
      </c>
      <c r="F8" s="46" t="s">
        <v>10</v>
      </c>
      <c r="G8" s="17"/>
    </row>
    <row r="9">
      <c r="E9" s="48"/>
      <c r="F9" t="s">
        <v>46</v>
      </c>
    </row>
    <row r="11" ht="28.5">
      <c r="D11" s="68" t="s">
        <v>11</v>
      </c>
      <c r="E11" s="69" t="s">
        <v>12</v>
      </c>
      <c r="F11" s="70" t="s">
        <v>13</v>
      </c>
      <c r="G11" s="70" t="s">
        <v>14</v>
      </c>
      <c r="H11" s="71" t="s">
        <v>15</v>
      </c>
      <c r="I11" s="70" t="s">
        <v>16</v>
      </c>
      <c r="J11" s="72" t="s">
        <v>17</v>
      </c>
    </row>
    <row r="12">
      <c r="D12" s="51" t="s">
        <v>18</v>
      </c>
      <c r="E12" s="52" t="s">
        <v>19</v>
      </c>
      <c r="F12" s="48"/>
      <c r="G12" s="53"/>
      <c r="H12" s="53"/>
      <c r="I12" s="43"/>
      <c r="J12" s="54"/>
    </row>
    <row r="13">
      <c r="D13" s="31" t="s">
        <v>20</v>
      </c>
      <c r="E13" s="33" t="s">
        <v>21</v>
      </c>
      <c r="F13" s="55">
        <f>3*0.3</f>
        <v>0.89999999999999991</v>
      </c>
      <c r="G13" s="56">
        <f>3*0.4</f>
        <v>1.2000000000000002</v>
      </c>
      <c r="H13" s="73">
        <f>2.33*0.3</f>
        <v>0.69899999999999995</v>
      </c>
      <c r="I13" s="74">
        <f>SUM(F13:H13)</f>
        <v>2.7989999999999999</v>
      </c>
      <c r="J13" s="44" t="s">
        <v>9</v>
      </c>
    </row>
    <row r="14">
      <c r="D14" s="51" t="s">
        <v>22</v>
      </c>
      <c r="E14" s="41" t="s">
        <v>23</v>
      </c>
      <c r="F14" s="58"/>
      <c r="G14" s="53"/>
      <c r="H14" s="53"/>
      <c r="I14" s="75"/>
      <c r="J14" s="54"/>
    </row>
    <row r="15">
      <c r="D15" s="31" t="s">
        <v>24</v>
      </c>
      <c r="E15" s="33" t="s">
        <v>25</v>
      </c>
      <c r="F15" s="55">
        <f t="shared" ref="F15:F26" si="7">3*0.3</f>
        <v>0.89999999999999991</v>
      </c>
      <c r="G15" s="56">
        <f t="shared" ref="G15:G26" si="8">3*0.4</f>
        <v>1.2000000000000002</v>
      </c>
      <c r="H15" s="73">
        <f>3*0.3</f>
        <v>0.89999999999999991</v>
      </c>
      <c r="I15" s="74">
        <f t="shared" ref="I15:I26" si="9">SUM(F15:H15)</f>
        <v>3</v>
      </c>
      <c r="J15" s="44" t="s">
        <v>9</v>
      </c>
    </row>
    <row r="16">
      <c r="D16" s="31" t="s">
        <v>28</v>
      </c>
      <c r="E16" s="33" t="s">
        <v>29</v>
      </c>
      <c r="F16" s="55">
        <f t="shared" si="7"/>
        <v>0.89999999999999991</v>
      </c>
      <c r="G16" s="56">
        <f t="shared" si="8"/>
        <v>1.2000000000000002</v>
      </c>
      <c r="H16" s="73">
        <f>2*0.3</f>
        <v>0.59999999999999998</v>
      </c>
      <c r="I16" s="74">
        <f t="shared" si="9"/>
        <v>2.7000000000000002</v>
      </c>
      <c r="J16" s="44" t="s">
        <v>9</v>
      </c>
    </row>
    <row r="17">
      <c r="D17" s="51" t="s">
        <v>30</v>
      </c>
      <c r="E17" s="41" t="s">
        <v>31</v>
      </c>
      <c r="F17" s="59"/>
      <c r="G17" s="59"/>
      <c r="H17" s="59"/>
      <c r="I17" s="75"/>
      <c r="J17" s="54"/>
    </row>
    <row r="18">
      <c r="D18" s="41" t="s">
        <v>34</v>
      </c>
      <c r="E18" s="41" t="s">
        <v>35</v>
      </c>
      <c r="F18" s="41"/>
      <c r="G18" s="41"/>
      <c r="H18" s="41"/>
      <c r="I18" s="75"/>
      <c r="J18" s="41"/>
    </row>
    <row r="19">
      <c r="D19" s="31" t="s">
        <v>38</v>
      </c>
      <c r="E19" s="33" t="s">
        <v>54</v>
      </c>
      <c r="F19" s="55">
        <f t="shared" si="7"/>
        <v>0.89999999999999991</v>
      </c>
      <c r="G19" s="56">
        <f t="shared" si="8"/>
        <v>1.2000000000000002</v>
      </c>
      <c r="H19" s="73">
        <f t="shared" ref="H19:H24" si="10">3*0.3</f>
        <v>0.89999999999999991</v>
      </c>
      <c r="I19" s="74">
        <f t="shared" si="9"/>
        <v>3</v>
      </c>
      <c r="J19" s="44" t="s">
        <v>9</v>
      </c>
    </row>
    <row r="20">
      <c r="D20" s="31" t="s">
        <v>40</v>
      </c>
      <c r="E20" s="33" t="s">
        <v>41</v>
      </c>
      <c r="F20" s="55">
        <f t="shared" si="7"/>
        <v>0.89999999999999991</v>
      </c>
      <c r="G20" s="56">
        <f t="shared" si="8"/>
        <v>1.2000000000000002</v>
      </c>
      <c r="H20" s="73">
        <f t="shared" si="10"/>
        <v>0.89999999999999991</v>
      </c>
      <c r="I20" s="74">
        <f t="shared" si="9"/>
        <v>3</v>
      </c>
      <c r="J20" s="44" t="s">
        <v>9</v>
      </c>
    </row>
    <row r="21">
      <c r="D21" s="51" t="s">
        <v>32</v>
      </c>
      <c r="E21" s="41" t="s">
        <v>43</v>
      </c>
      <c r="F21" s="58"/>
      <c r="G21" s="53"/>
      <c r="H21" s="53"/>
      <c r="I21" s="75"/>
      <c r="J21" s="54"/>
    </row>
    <row r="22">
      <c r="D22" s="31" t="s">
        <v>40</v>
      </c>
      <c r="E22" s="33" t="s">
        <v>47</v>
      </c>
      <c r="F22" s="55">
        <f t="shared" si="7"/>
        <v>0.89999999999999991</v>
      </c>
      <c r="G22" s="56">
        <f t="shared" si="8"/>
        <v>1.2000000000000002</v>
      </c>
      <c r="H22" s="73">
        <f t="shared" si="10"/>
        <v>0.89999999999999991</v>
      </c>
      <c r="I22" s="74">
        <f t="shared" si="9"/>
        <v>3</v>
      </c>
      <c r="J22" s="44" t="s">
        <v>9</v>
      </c>
    </row>
    <row r="23">
      <c r="D23" s="31" t="s">
        <v>42</v>
      </c>
      <c r="E23" s="33" t="s">
        <v>48</v>
      </c>
      <c r="F23" s="55">
        <v>0.90000000000000002</v>
      </c>
      <c r="G23" s="56">
        <v>1.2</v>
      </c>
      <c r="H23" s="56">
        <v>0.59999999999999998</v>
      </c>
      <c r="I23" s="74">
        <f t="shared" si="9"/>
        <v>2.7000000000000002</v>
      </c>
      <c r="J23" s="44" t="s">
        <v>9</v>
      </c>
    </row>
    <row r="24">
      <c r="D24" s="31" t="s">
        <v>55</v>
      </c>
      <c r="E24" s="31" t="s">
        <v>56</v>
      </c>
      <c r="F24" s="55">
        <f t="shared" si="7"/>
        <v>0.89999999999999991</v>
      </c>
      <c r="G24" s="56">
        <f t="shared" si="8"/>
        <v>1.2000000000000002</v>
      </c>
      <c r="H24" s="73">
        <f t="shared" si="10"/>
        <v>0.89999999999999991</v>
      </c>
      <c r="I24" s="74">
        <f t="shared" si="9"/>
        <v>3</v>
      </c>
      <c r="J24" s="44" t="s">
        <v>9</v>
      </c>
    </row>
    <row r="25">
      <c r="D25" s="51" t="s">
        <v>57</v>
      </c>
      <c r="E25" s="52" t="s">
        <v>58</v>
      </c>
      <c r="F25" s="53"/>
      <c r="G25" s="53"/>
      <c r="H25" s="53"/>
      <c r="I25" s="75"/>
      <c r="J25" s="54"/>
    </row>
    <row r="26">
      <c r="D26" s="31" t="s">
        <v>59</v>
      </c>
      <c r="E26" s="31" t="s">
        <v>60</v>
      </c>
      <c r="F26" s="56">
        <f t="shared" si="7"/>
        <v>0.89999999999999991</v>
      </c>
      <c r="G26" s="73">
        <f t="shared" si="8"/>
        <v>1.2000000000000002</v>
      </c>
      <c r="H26" s="74">
        <f>2*0.3</f>
        <v>0.59999999999999998</v>
      </c>
      <c r="I26" s="74">
        <f t="shared" si="9"/>
        <v>2.7000000000000002</v>
      </c>
      <c r="J26" s="44" t="s">
        <v>9</v>
      </c>
    </row>
    <row r="27" ht="15"/>
    <row r="28" ht="15">
      <c r="D28" s="76"/>
      <c r="E28" s="77" t="s">
        <v>61</v>
      </c>
      <c r="F28" s="77" t="s">
        <v>62</v>
      </c>
      <c r="G28" s="77" t="s">
        <v>63</v>
      </c>
    </row>
    <row r="29" ht="28.5">
      <c r="D29" s="78" t="s">
        <v>64</v>
      </c>
      <c r="E29" s="84" t="s">
        <v>65</v>
      </c>
      <c r="F29" s="84" t="s">
        <v>66</v>
      </c>
      <c r="G29" s="84" t="s">
        <v>66</v>
      </c>
    </row>
    <row r="30" ht="15">
      <c r="D30" s="80" t="s">
        <v>67</v>
      </c>
      <c r="E30" s="84" t="s">
        <v>68</v>
      </c>
      <c r="F30" s="84" t="s">
        <v>69</v>
      </c>
      <c r="G30" s="84" t="s">
        <v>70</v>
      </c>
    </row>
    <row r="31">
      <c r="D31" s="81" t="s">
        <v>71</v>
      </c>
      <c r="E31" s="82"/>
      <c r="F31" s="82"/>
      <c r="G31" s="82"/>
    </row>
    <row r="32" ht="15">
      <c r="D32" s="80"/>
      <c r="E32" s="83"/>
      <c r="F32" s="83"/>
      <c r="G32" s="83"/>
    </row>
  </sheetData>
  <sheetProtection autoFilter="1" deleteColumns="1" deleteRows="1" formatCells="1" formatColumns="1" formatRows="1" insertColumns="1" insertHyperlinks="1" insertRows="1" pivotTables="1" selectLockedCells="1" selectUnlockedCells="1" sheet="0" sort="1"/>
  <mergeCells count="8">
    <mergeCell ref="C2:D5"/>
    <mergeCell ref="E2:I3"/>
    <mergeCell ref="E4:I5"/>
    <mergeCell ref="E7:F7"/>
    <mergeCell ref="D31:D32"/>
    <mergeCell ref="E31:E32"/>
    <mergeCell ref="F31:F32"/>
    <mergeCell ref="G31:G32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0" activeCellId="0" sqref="G10"/>
    </sheetView>
  </sheetViews>
  <sheetFormatPr baseColWidth="10" defaultRowHeight="14.25"/>
  <cols>
    <col customWidth="1" min="4" max="4" width="13.5546875"/>
  </cols>
  <sheetData>
    <row r="1" ht="15"/>
    <row r="2" ht="15">
      <c r="B2" s="1"/>
      <c r="C2" s="2"/>
      <c r="D2" s="3" t="s">
        <v>0</v>
      </c>
      <c r="E2" s="4"/>
      <c r="F2" s="4"/>
      <c r="G2" s="4"/>
      <c r="H2" s="5"/>
      <c r="I2" s="6" t="s">
        <v>1</v>
      </c>
      <c r="J2" s="6" t="s">
        <v>44</v>
      </c>
    </row>
    <row r="3" ht="15">
      <c r="B3" s="7"/>
      <c r="C3" s="8"/>
      <c r="D3" s="9"/>
      <c r="E3" s="10"/>
      <c r="F3" s="10"/>
      <c r="G3" s="10"/>
      <c r="H3" s="11"/>
      <c r="I3" s="6" t="s">
        <v>3</v>
      </c>
      <c r="J3" s="6">
        <v>1</v>
      </c>
    </row>
    <row r="4" ht="15">
      <c r="B4" s="7"/>
      <c r="C4" s="8"/>
      <c r="D4" s="3" t="s">
        <v>4</v>
      </c>
      <c r="E4" s="4"/>
      <c r="F4" s="4"/>
      <c r="G4" s="4"/>
      <c r="H4" s="5"/>
      <c r="I4" s="6" t="s">
        <v>5</v>
      </c>
      <c r="J4" s="12">
        <v>41532</v>
      </c>
    </row>
    <row r="5" ht="15">
      <c r="B5" s="13"/>
      <c r="C5" s="14"/>
      <c r="D5" s="9"/>
      <c r="E5" s="10"/>
      <c r="F5" s="10"/>
      <c r="G5" s="10"/>
      <c r="H5" s="11"/>
      <c r="I5" s="6" t="s">
        <v>6</v>
      </c>
      <c r="J5" s="47" t="s">
        <v>45</v>
      </c>
    </row>
    <row r="6">
      <c r="C6" s="16"/>
      <c r="D6" s="66" t="s">
        <v>7</v>
      </c>
      <c r="E6" s="67">
        <v>2019</v>
      </c>
      <c r="F6" s="17"/>
      <c r="G6" s="17"/>
      <c r="H6" s="17"/>
      <c r="I6" s="18"/>
    </row>
    <row r="7">
      <c r="D7" s="22" t="s">
        <v>8</v>
      </c>
      <c r="E7" s="23"/>
      <c r="F7" s="17"/>
    </row>
    <row r="8">
      <c r="D8" s="25" t="s">
        <v>9</v>
      </c>
      <c r="E8" s="46" t="s">
        <v>10</v>
      </c>
      <c r="F8" s="17"/>
    </row>
    <row r="9">
      <c r="D9" s="48"/>
      <c r="E9" t="s">
        <v>46</v>
      </c>
    </row>
    <row r="11" ht="28.5">
      <c r="C11" s="68" t="s">
        <v>11</v>
      </c>
      <c r="D11" s="69" t="s">
        <v>12</v>
      </c>
      <c r="E11" s="70" t="s">
        <v>13</v>
      </c>
      <c r="F11" s="70" t="s">
        <v>14</v>
      </c>
      <c r="G11" s="71" t="s">
        <v>15</v>
      </c>
      <c r="H11" s="70" t="s">
        <v>16</v>
      </c>
      <c r="I11" s="72" t="s">
        <v>17</v>
      </c>
    </row>
    <row r="12">
      <c r="C12" s="51" t="s">
        <v>18</v>
      </c>
      <c r="D12" s="52" t="s">
        <v>19</v>
      </c>
      <c r="E12" s="48"/>
      <c r="F12" s="53"/>
      <c r="G12" s="53"/>
      <c r="H12" s="43"/>
      <c r="I12" s="54"/>
    </row>
    <row r="13">
      <c r="C13" s="31" t="s">
        <v>20</v>
      </c>
      <c r="D13" s="33" t="s">
        <v>21</v>
      </c>
      <c r="E13" s="55">
        <f>3*0.3</f>
        <v>0.89999999999999991</v>
      </c>
      <c r="F13" s="56">
        <f>3*0.4</f>
        <v>1.2000000000000002</v>
      </c>
      <c r="G13" s="73">
        <f>2.33*0.3</f>
        <v>0.69899999999999995</v>
      </c>
      <c r="H13" s="74">
        <f>SUM(E13:G13)</f>
        <v>2.7989999999999999</v>
      </c>
      <c r="I13" s="44" t="s">
        <v>9</v>
      </c>
    </row>
    <row r="14">
      <c r="C14" s="51" t="s">
        <v>22</v>
      </c>
      <c r="D14" s="41" t="s">
        <v>23</v>
      </c>
      <c r="E14" s="58"/>
      <c r="F14" s="53"/>
      <c r="G14" s="53"/>
      <c r="H14" s="75"/>
      <c r="I14" s="54"/>
    </row>
    <row r="15">
      <c r="C15" s="31" t="s">
        <v>24</v>
      </c>
      <c r="D15" s="33" t="s">
        <v>25</v>
      </c>
      <c r="E15" s="55">
        <f t="shared" ref="E15:E28" si="11">3*0.3</f>
        <v>0.89999999999999991</v>
      </c>
      <c r="F15" s="56">
        <f t="shared" ref="F15:F16" si="12">3*0.4</f>
        <v>1.2000000000000002</v>
      </c>
      <c r="G15" s="73">
        <f t="shared" ref="G15:G22" si="13">3*0.3</f>
        <v>0.89999999999999991</v>
      </c>
      <c r="H15" s="74">
        <f t="shared" ref="H15:H28" si="14">SUM(E15:G15)</f>
        <v>3</v>
      </c>
      <c r="I15" s="44" t="s">
        <v>9</v>
      </c>
    </row>
    <row r="16">
      <c r="C16" s="31" t="s">
        <v>28</v>
      </c>
      <c r="D16" s="33" t="s">
        <v>29</v>
      </c>
      <c r="E16" s="55">
        <f t="shared" si="11"/>
        <v>0.89999999999999991</v>
      </c>
      <c r="F16" s="56">
        <f t="shared" si="12"/>
        <v>1.2000000000000002</v>
      </c>
      <c r="G16" s="73">
        <f t="shared" si="13"/>
        <v>0.89999999999999991</v>
      </c>
      <c r="H16" s="74">
        <f t="shared" si="14"/>
        <v>3</v>
      </c>
      <c r="I16" s="44" t="s">
        <v>9</v>
      </c>
    </row>
    <row r="17">
      <c r="C17" s="51" t="s">
        <v>30</v>
      </c>
      <c r="D17" s="41" t="s">
        <v>31</v>
      </c>
      <c r="E17" s="59"/>
      <c r="F17" s="59"/>
      <c r="G17" s="59"/>
      <c r="H17" s="75"/>
      <c r="I17" s="54"/>
    </row>
    <row r="18">
      <c r="C18" s="41" t="s">
        <v>34</v>
      </c>
      <c r="D18" s="41" t="s">
        <v>35</v>
      </c>
      <c r="E18" s="41"/>
      <c r="F18" s="41"/>
      <c r="G18" s="41"/>
      <c r="H18" s="75"/>
      <c r="I18" s="41"/>
    </row>
    <row r="19">
      <c r="C19" s="31" t="s">
        <v>38</v>
      </c>
      <c r="D19" s="33" t="s">
        <v>54</v>
      </c>
      <c r="E19" s="55">
        <f t="shared" si="11"/>
        <v>0.89999999999999991</v>
      </c>
      <c r="F19" s="56">
        <f>2*0.4</f>
        <v>0.80000000000000004</v>
      </c>
      <c r="G19" s="73">
        <f t="shared" si="13"/>
        <v>0.89999999999999991</v>
      </c>
      <c r="H19" s="74">
        <f t="shared" si="14"/>
        <v>2.5999999999999996</v>
      </c>
      <c r="I19" s="44" t="s">
        <v>9</v>
      </c>
    </row>
    <row r="20">
      <c r="C20" s="31" t="s">
        <v>40</v>
      </c>
      <c r="D20" s="33" t="s">
        <v>41</v>
      </c>
      <c r="E20" s="55">
        <f t="shared" si="11"/>
        <v>0.89999999999999991</v>
      </c>
      <c r="F20" s="56">
        <f>3*0.4</f>
        <v>1.2000000000000002</v>
      </c>
      <c r="G20" s="73">
        <f t="shared" si="13"/>
        <v>0.89999999999999991</v>
      </c>
      <c r="H20" s="74">
        <f t="shared" si="14"/>
        <v>3</v>
      </c>
      <c r="I20" s="44" t="s">
        <v>9</v>
      </c>
    </row>
    <row r="21">
      <c r="C21" s="51" t="s">
        <v>32</v>
      </c>
      <c r="D21" s="41" t="s">
        <v>43</v>
      </c>
      <c r="E21" s="58"/>
      <c r="F21" s="53"/>
      <c r="G21" s="53"/>
      <c r="H21" s="75"/>
      <c r="I21" s="54"/>
    </row>
    <row r="22">
      <c r="C22" s="31" t="s">
        <v>40</v>
      </c>
      <c r="D22" s="33" t="s">
        <v>47</v>
      </c>
      <c r="E22" s="55">
        <f t="shared" si="11"/>
        <v>0.89999999999999991</v>
      </c>
      <c r="F22" s="56">
        <f t="shared" ref="F22:F28" si="15">3*0.4</f>
        <v>1.2000000000000002</v>
      </c>
      <c r="G22" s="73">
        <f t="shared" si="13"/>
        <v>0.89999999999999991</v>
      </c>
      <c r="H22" s="74">
        <f t="shared" si="14"/>
        <v>3</v>
      </c>
      <c r="I22" s="44" t="s">
        <v>9</v>
      </c>
    </row>
    <row r="23">
      <c r="C23" s="31" t="s">
        <v>42</v>
      </c>
      <c r="D23" s="33" t="s">
        <v>48</v>
      </c>
      <c r="E23" s="55">
        <f t="shared" si="11"/>
        <v>0.89999999999999991</v>
      </c>
      <c r="F23" s="56">
        <f t="shared" si="15"/>
        <v>1.2000000000000002</v>
      </c>
      <c r="G23" s="73">
        <f>2.33*0.3</f>
        <v>0.69899999999999995</v>
      </c>
      <c r="H23" s="74">
        <f t="shared" si="14"/>
        <v>2.7989999999999999</v>
      </c>
      <c r="I23" s="44" t="s">
        <v>9</v>
      </c>
    </row>
    <row r="24">
      <c r="C24" s="54" t="s">
        <v>55</v>
      </c>
      <c r="D24" s="54" t="s">
        <v>56</v>
      </c>
      <c r="E24" s="54"/>
      <c r="F24" s="54"/>
      <c r="G24" s="54"/>
      <c r="H24" s="54"/>
      <c r="I24" s="54"/>
    </row>
    <row r="25">
      <c r="C25" s="51" t="s">
        <v>57</v>
      </c>
      <c r="D25" s="52" t="s">
        <v>58</v>
      </c>
      <c r="E25" s="53"/>
      <c r="F25" s="53"/>
      <c r="G25" s="53"/>
      <c r="H25" s="85"/>
      <c r="I25" s="54"/>
    </row>
    <row r="26">
      <c r="C26" s="86" t="s">
        <v>59</v>
      </c>
      <c r="D26" s="86" t="s">
        <v>60</v>
      </c>
      <c r="E26" s="87">
        <f t="shared" si="11"/>
        <v>0.89999999999999991</v>
      </c>
      <c r="F26" s="88">
        <f t="shared" si="15"/>
        <v>1.2000000000000002</v>
      </c>
      <c r="G26" s="89">
        <f>2*0.3</f>
        <v>0.59999999999999998</v>
      </c>
      <c r="H26" s="90">
        <f t="shared" si="14"/>
        <v>2.7000000000000002</v>
      </c>
      <c r="I26" s="91" t="s">
        <v>9</v>
      </c>
    </row>
    <row r="27">
      <c r="C27" s="92" t="s">
        <v>72</v>
      </c>
      <c r="D27" s="93" t="s">
        <v>39</v>
      </c>
      <c r="E27" s="55">
        <f t="shared" si="11"/>
        <v>0.89999999999999991</v>
      </c>
      <c r="F27" s="56">
        <f t="shared" si="15"/>
        <v>1.2000000000000002</v>
      </c>
      <c r="G27" s="73">
        <f t="shared" ref="G27:G28" si="16">3*0.3</f>
        <v>0.89999999999999991</v>
      </c>
      <c r="H27" s="74">
        <f t="shared" si="14"/>
        <v>3</v>
      </c>
      <c r="I27" s="94" t="s">
        <v>9</v>
      </c>
    </row>
    <row r="28">
      <c r="C28" s="92" t="s">
        <v>73</v>
      </c>
      <c r="D28" s="93" t="s">
        <v>74</v>
      </c>
      <c r="E28" s="95">
        <f t="shared" si="11"/>
        <v>0.89999999999999991</v>
      </c>
      <c r="F28" s="56">
        <f t="shared" si="15"/>
        <v>1.2000000000000002</v>
      </c>
      <c r="G28" s="73">
        <f t="shared" si="16"/>
        <v>0.89999999999999991</v>
      </c>
      <c r="H28" s="74">
        <f t="shared" si="14"/>
        <v>3</v>
      </c>
      <c r="I28" s="94" t="s">
        <v>9</v>
      </c>
    </row>
    <row r="29" ht="15"/>
    <row r="30" ht="28.5">
      <c r="C30" s="76"/>
      <c r="D30" s="77" t="s">
        <v>61</v>
      </c>
      <c r="E30" s="77" t="s">
        <v>62</v>
      </c>
      <c r="F30" s="77" t="s">
        <v>63</v>
      </c>
    </row>
    <row r="31" ht="28.5">
      <c r="C31" s="78" t="s">
        <v>64</v>
      </c>
      <c r="D31" s="84" t="s">
        <v>65</v>
      </c>
      <c r="E31" s="84" t="s">
        <v>66</v>
      </c>
      <c r="F31" s="84" t="s">
        <v>66</v>
      </c>
    </row>
    <row r="32" ht="15">
      <c r="C32" s="80" t="s">
        <v>67</v>
      </c>
      <c r="D32" s="84" t="s">
        <v>68</v>
      </c>
      <c r="E32" s="84" t="s">
        <v>69</v>
      </c>
      <c r="F32" s="84" t="s">
        <v>70</v>
      </c>
    </row>
    <row r="33">
      <c r="C33" s="81" t="s">
        <v>71</v>
      </c>
      <c r="D33" s="82"/>
      <c r="E33" s="82"/>
      <c r="F33" s="82"/>
    </row>
    <row r="34" ht="15">
      <c r="C34" s="80"/>
      <c r="D34" s="83"/>
      <c r="E34" s="83"/>
      <c r="F34" s="83"/>
    </row>
  </sheetData>
  <sheetProtection algorithmName="SHA-512" hashValue="RmWg2paSJwYiBbkrq1y2fLimpgdZtzJ3dwcWdB6u21ZaILg+6QUU+85LMhzrMlsmNM07K2E2V7vspIbAXfESqg==" saltValue="XWmA/Yk1ucf5uzkt7abDXQ==" spinCount="100000"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8">
    <mergeCell ref="B2:C5"/>
    <mergeCell ref="D2:H3"/>
    <mergeCell ref="D4:H5"/>
    <mergeCell ref="D7:E7"/>
    <mergeCell ref="C33:C34"/>
    <mergeCell ref="D33:D34"/>
    <mergeCell ref="E33:E34"/>
    <mergeCell ref="F33:F34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P14" activeCellId="0" sqref="P14"/>
    </sheetView>
  </sheetViews>
  <sheetFormatPr baseColWidth="10" defaultRowHeight="14.25"/>
  <cols>
    <col customWidth="1" min="3" max="3" width="6.5546875"/>
    <col customWidth="1" min="4" max="4" width="10"/>
    <col customWidth="1" min="5" max="5" width="13.33203125"/>
    <col customWidth="1" min="6" max="6" width="12.6640625"/>
    <col customWidth="1" min="7" max="7" width="14"/>
  </cols>
  <sheetData>
    <row r="1" ht="15">
      <c r="C1" s="1"/>
      <c r="D1" s="2"/>
      <c r="E1" s="3" t="s">
        <v>0</v>
      </c>
      <c r="F1" s="4"/>
      <c r="G1" s="4"/>
      <c r="H1" s="4"/>
      <c r="I1" s="5"/>
      <c r="J1" s="6" t="s">
        <v>1</v>
      </c>
      <c r="K1" s="6" t="s">
        <v>44</v>
      </c>
    </row>
    <row r="2" ht="15">
      <c r="C2" s="7"/>
      <c r="D2" s="8"/>
      <c r="E2" s="9"/>
      <c r="F2" s="10"/>
      <c r="G2" s="10"/>
      <c r="H2" s="10"/>
      <c r="I2" s="11"/>
      <c r="J2" s="6" t="s">
        <v>3</v>
      </c>
      <c r="K2" s="6">
        <v>2</v>
      </c>
    </row>
    <row r="3" ht="15">
      <c r="C3" s="7"/>
      <c r="D3" s="8"/>
      <c r="E3" s="3" t="s">
        <v>75</v>
      </c>
      <c r="F3" s="4"/>
      <c r="G3" s="4"/>
      <c r="H3" s="4"/>
      <c r="I3" s="5"/>
      <c r="J3" s="6" t="s">
        <v>5</v>
      </c>
      <c r="K3" s="12">
        <v>43806</v>
      </c>
    </row>
    <row r="4" ht="15">
      <c r="C4" s="13"/>
      <c r="D4" s="14"/>
      <c r="E4" s="9"/>
      <c r="F4" s="10"/>
      <c r="G4" s="10"/>
      <c r="H4" s="10"/>
      <c r="I4" s="11"/>
      <c r="J4" s="6" t="s">
        <v>6</v>
      </c>
      <c r="K4" s="47" t="s">
        <v>45</v>
      </c>
    </row>
    <row r="5">
      <c r="D5" s="16"/>
      <c r="E5" s="66" t="s">
        <v>7</v>
      </c>
      <c r="F5" s="67">
        <v>2019</v>
      </c>
      <c r="G5" s="17"/>
      <c r="H5" s="17"/>
      <c r="I5" s="17"/>
      <c r="J5" s="18"/>
    </row>
    <row r="6">
      <c r="E6" s="22" t="s">
        <v>8</v>
      </c>
      <c r="F6" s="23"/>
      <c r="G6" s="17"/>
    </row>
    <row r="7">
      <c r="E7" s="25" t="s">
        <v>9</v>
      </c>
      <c r="F7" s="46" t="s">
        <v>10</v>
      </c>
      <c r="G7" s="17"/>
    </row>
    <row r="8">
      <c r="E8" s="48"/>
      <c r="F8" t="s">
        <v>46</v>
      </c>
    </row>
    <row r="10" ht="42.75">
      <c r="D10" s="96" t="s">
        <v>76</v>
      </c>
      <c r="E10" s="69" t="s">
        <v>77</v>
      </c>
      <c r="F10" s="97" t="s">
        <v>13</v>
      </c>
      <c r="G10" s="70" t="s">
        <v>14</v>
      </c>
      <c r="H10" s="71" t="s">
        <v>15</v>
      </c>
      <c r="I10" s="70" t="s">
        <v>16</v>
      </c>
      <c r="J10" s="72" t="s">
        <v>17</v>
      </c>
    </row>
    <row r="11">
      <c r="D11" s="51" t="s">
        <v>18</v>
      </c>
      <c r="E11" s="98" t="s">
        <v>19</v>
      </c>
      <c r="F11" s="48"/>
      <c r="G11" s="53"/>
      <c r="H11" s="53"/>
      <c r="I11" s="43"/>
      <c r="J11" s="54"/>
    </row>
    <row r="12">
      <c r="D12" s="31" t="s">
        <v>20</v>
      </c>
      <c r="E12" s="99" t="s">
        <v>21</v>
      </c>
      <c r="F12" s="55">
        <f>3*0.3</f>
        <v>0.89999999999999991</v>
      </c>
      <c r="G12" s="56">
        <f>3*0.4</f>
        <v>1.2000000000000002</v>
      </c>
      <c r="H12" s="73">
        <f>2.33*0.3</f>
        <v>0.69899999999999995</v>
      </c>
      <c r="I12" s="74">
        <f>SUM(F12:H12)</f>
        <v>2.7989999999999999</v>
      </c>
      <c r="J12" s="44" t="s">
        <v>9</v>
      </c>
    </row>
    <row r="13">
      <c r="D13" s="51" t="s">
        <v>22</v>
      </c>
      <c r="E13" s="100" t="s">
        <v>23</v>
      </c>
      <c r="F13" s="58"/>
      <c r="G13" s="53"/>
      <c r="H13" s="53"/>
      <c r="I13" s="75"/>
      <c r="J13" s="54"/>
    </row>
    <row r="14">
      <c r="D14" s="31" t="s">
        <v>24</v>
      </c>
      <c r="E14" s="99" t="s">
        <v>25</v>
      </c>
      <c r="F14" s="55">
        <f>3*0.3</f>
        <v>0.89999999999999991</v>
      </c>
      <c r="G14" s="56">
        <f>3*0.4</f>
        <v>1.2000000000000002</v>
      </c>
      <c r="H14" s="73">
        <f>3*0.3</f>
        <v>0.89999999999999991</v>
      </c>
      <c r="I14" s="74">
        <f>SUM(F14:H14)</f>
        <v>3</v>
      </c>
      <c r="J14" s="44" t="s">
        <v>9</v>
      </c>
    </row>
    <row r="15">
      <c r="D15" s="31" t="s">
        <v>28</v>
      </c>
      <c r="E15" s="99" t="s">
        <v>29</v>
      </c>
      <c r="F15" s="55"/>
      <c r="G15" s="56"/>
      <c r="H15" s="73"/>
      <c r="I15" s="74"/>
      <c r="J15" s="44"/>
    </row>
    <row r="16">
      <c r="D16" s="51" t="s">
        <v>30</v>
      </c>
      <c r="E16" s="100" t="s">
        <v>31</v>
      </c>
      <c r="F16" s="59"/>
      <c r="G16" s="59"/>
      <c r="H16" s="59"/>
      <c r="I16" s="75"/>
      <c r="J16" s="54"/>
    </row>
    <row r="17">
      <c r="D17" s="41" t="s">
        <v>34</v>
      </c>
      <c r="E17" s="100" t="s">
        <v>35</v>
      </c>
      <c r="F17" s="41"/>
      <c r="G17" s="41"/>
      <c r="H17" s="41"/>
      <c r="I17" s="75"/>
      <c r="J17" s="41"/>
    </row>
    <row r="18">
      <c r="D18" s="31" t="s">
        <v>38</v>
      </c>
      <c r="E18" s="99" t="s">
        <v>54</v>
      </c>
      <c r="F18" s="55"/>
      <c r="G18" s="56"/>
      <c r="H18" s="73"/>
      <c r="I18" s="74"/>
      <c r="J18" s="44"/>
    </row>
    <row r="19">
      <c r="D19" s="31" t="s">
        <v>40</v>
      </c>
      <c r="E19" s="99" t="s">
        <v>41</v>
      </c>
      <c r="F19" s="55"/>
      <c r="G19" s="56"/>
      <c r="H19" s="73"/>
      <c r="I19" s="74"/>
      <c r="J19" s="44"/>
    </row>
    <row r="20">
      <c r="D20" s="51" t="s">
        <v>32</v>
      </c>
      <c r="E20" s="100" t="s">
        <v>43</v>
      </c>
      <c r="F20" s="58"/>
      <c r="G20" s="53"/>
      <c r="H20" s="53"/>
      <c r="I20" s="75"/>
      <c r="J20" s="54"/>
    </row>
    <row r="21">
      <c r="D21" s="31" t="s">
        <v>40</v>
      </c>
      <c r="E21" s="99" t="s">
        <v>47</v>
      </c>
      <c r="F21" s="55"/>
      <c r="G21" s="56"/>
      <c r="H21" s="73"/>
      <c r="I21" s="74"/>
      <c r="J21" s="44"/>
      <c r="K21" t="s">
        <v>78</v>
      </c>
    </row>
    <row r="22">
      <c r="D22" s="31" t="s">
        <v>42</v>
      </c>
      <c r="E22" s="99" t="s">
        <v>48</v>
      </c>
      <c r="F22" s="55"/>
      <c r="G22" s="56"/>
      <c r="H22" s="73"/>
      <c r="I22" s="74"/>
      <c r="J22" s="44"/>
    </row>
    <row r="23">
      <c r="D23" s="54" t="s">
        <v>55</v>
      </c>
      <c r="E23" s="101" t="s">
        <v>56</v>
      </c>
      <c r="F23" s="54"/>
      <c r="G23" s="54"/>
      <c r="H23" s="54"/>
      <c r="I23" s="54"/>
      <c r="J23" s="54"/>
    </row>
    <row r="24">
      <c r="D24" s="51" t="s">
        <v>57</v>
      </c>
      <c r="E24" s="98" t="s">
        <v>58</v>
      </c>
      <c r="F24" s="53"/>
      <c r="G24" s="53"/>
      <c r="H24" s="53"/>
      <c r="I24" s="85"/>
      <c r="J24" s="54"/>
    </row>
    <row r="25">
      <c r="D25" s="86" t="s">
        <v>59</v>
      </c>
      <c r="E25" s="102" t="s">
        <v>60</v>
      </c>
      <c r="F25" s="87"/>
      <c r="G25" s="88"/>
      <c r="H25" s="89"/>
      <c r="I25" s="90"/>
      <c r="J25" s="91"/>
    </row>
    <row r="26">
      <c r="D26" s="92" t="s">
        <v>72</v>
      </c>
      <c r="E26" s="103" t="s">
        <v>39</v>
      </c>
      <c r="F26" s="55"/>
      <c r="G26" s="56"/>
      <c r="H26" s="73"/>
      <c r="I26" s="74"/>
      <c r="J26" s="94"/>
    </row>
    <row r="27">
      <c r="D27" s="92" t="s">
        <v>73</v>
      </c>
      <c r="E27" s="103" t="s">
        <v>74</v>
      </c>
      <c r="F27" s="95"/>
      <c r="G27" s="56"/>
      <c r="H27" s="73"/>
      <c r="I27" s="74"/>
      <c r="J27" s="94"/>
    </row>
    <row r="28" ht="15"/>
    <row r="29" ht="15">
      <c r="D29" s="76"/>
      <c r="E29" s="77" t="s">
        <v>61</v>
      </c>
      <c r="F29" s="77" t="s">
        <v>62</v>
      </c>
      <c r="G29" s="77" t="s">
        <v>63</v>
      </c>
    </row>
    <row r="30" ht="28.5">
      <c r="D30" s="78" t="s">
        <v>64</v>
      </c>
      <c r="E30" s="84" t="s">
        <v>65</v>
      </c>
      <c r="F30" s="84" t="s">
        <v>66</v>
      </c>
      <c r="G30" s="84" t="s">
        <v>66</v>
      </c>
    </row>
    <row r="31" ht="15">
      <c r="D31" s="80" t="s">
        <v>67</v>
      </c>
      <c r="E31" s="84" t="s">
        <v>68</v>
      </c>
      <c r="F31" s="84" t="s">
        <v>69</v>
      </c>
      <c r="G31" s="84" t="s">
        <v>70</v>
      </c>
    </row>
    <row r="32">
      <c r="D32" s="81" t="s">
        <v>71</v>
      </c>
      <c r="E32" s="82"/>
      <c r="F32" s="82"/>
      <c r="G32" s="82"/>
    </row>
    <row r="33" ht="15">
      <c r="D33" s="80"/>
      <c r="E33" s="83"/>
      <c r="F33" s="83"/>
      <c r="G33" s="83"/>
    </row>
  </sheetData>
  <sheetProtection algorithmName="SHA-512" hashValue="KkOgdcKC2Q8V4AFhZb7YC0JWpLEuqaKcZvD4N7OwpgXxZPoq9SOJzs0dSkuTZiG7DViN3hKCpBgVgE4YQ2+KIA==" saltValue="Ev1B5kPIlHIZ9eGDwa7f4Q==" spinCount="100000"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8">
    <mergeCell ref="C1:D4"/>
    <mergeCell ref="E1:I2"/>
    <mergeCell ref="E3:I4"/>
    <mergeCell ref="E6:F6"/>
    <mergeCell ref="D32:D33"/>
    <mergeCell ref="E32:E33"/>
    <mergeCell ref="F32:F33"/>
    <mergeCell ref="G32:G33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0" activeCellId="0" sqref="E10:I27"/>
    </sheetView>
  </sheetViews>
  <sheetFormatPr baseColWidth="10" defaultRowHeight="14.25"/>
  <cols>
    <col customWidth="1" min="1" max="1" width="7.88671875"/>
    <col customWidth="1" min="4" max="4" width="16.88671875"/>
    <col customWidth="1" min="5" max="5" width="13.109375"/>
    <col customWidth="1" min="6" max="6" width="13.5546875"/>
    <col customWidth="1" min="7" max="7" width="12.6640625"/>
  </cols>
  <sheetData>
    <row r="1" ht="12.75" customHeight="1">
      <c r="B1" s="1"/>
      <c r="C1" s="2"/>
      <c r="D1" s="3" t="s">
        <v>0</v>
      </c>
      <c r="E1" s="4"/>
      <c r="F1" s="4"/>
      <c r="G1" s="4"/>
      <c r="H1" s="5"/>
      <c r="I1" s="6" t="s">
        <v>1</v>
      </c>
      <c r="J1" s="6" t="s">
        <v>44</v>
      </c>
    </row>
    <row r="2" ht="13.5" customHeight="1">
      <c r="B2" s="7"/>
      <c r="C2" s="8"/>
      <c r="D2" s="9"/>
      <c r="E2" s="10"/>
      <c r="F2" s="10"/>
      <c r="G2" s="10"/>
      <c r="H2" s="11"/>
      <c r="I2" s="6" t="s">
        <v>3</v>
      </c>
      <c r="J2" s="6">
        <v>2</v>
      </c>
    </row>
    <row r="3" ht="15">
      <c r="B3" s="7"/>
      <c r="C3" s="8"/>
      <c r="D3" s="3" t="s">
        <v>75</v>
      </c>
      <c r="E3" s="4"/>
      <c r="F3" s="4"/>
      <c r="G3" s="4"/>
      <c r="H3" s="5"/>
      <c r="I3" s="6" t="s">
        <v>5</v>
      </c>
      <c r="J3" s="12">
        <v>43806</v>
      </c>
    </row>
    <row r="4" ht="11.25" customHeight="1">
      <c r="B4" s="13"/>
      <c r="C4" s="14"/>
      <c r="D4" s="9"/>
      <c r="E4" s="10"/>
      <c r="F4" s="10"/>
      <c r="G4" s="10"/>
      <c r="H4" s="11"/>
      <c r="I4" s="6" t="s">
        <v>6</v>
      </c>
      <c r="J4" s="47" t="s">
        <v>45</v>
      </c>
    </row>
    <row r="5">
      <c r="C5" s="16"/>
      <c r="D5" s="66" t="s">
        <v>7</v>
      </c>
      <c r="E5" s="67">
        <v>2021</v>
      </c>
      <c r="F5" s="17"/>
      <c r="G5" s="17"/>
      <c r="H5" s="17"/>
      <c r="I5" s="18"/>
    </row>
    <row r="6">
      <c r="D6" s="22" t="s">
        <v>8</v>
      </c>
      <c r="E6" s="23"/>
      <c r="F6" s="17"/>
    </row>
    <row r="7">
      <c r="D7" s="25" t="s">
        <v>9</v>
      </c>
      <c r="E7" s="46" t="s">
        <v>10</v>
      </c>
      <c r="F7" s="17"/>
    </row>
    <row r="8">
      <c r="D8" s="48"/>
      <c r="E8" t="s">
        <v>46</v>
      </c>
    </row>
    <row r="9" ht="36">
      <c r="C9" s="96" t="s">
        <v>76</v>
      </c>
      <c r="D9" s="69" t="s">
        <v>77</v>
      </c>
      <c r="E9" s="97" t="s">
        <v>13</v>
      </c>
      <c r="F9" s="70" t="s">
        <v>14</v>
      </c>
      <c r="G9" s="71" t="s">
        <v>15</v>
      </c>
      <c r="H9" s="70" t="s">
        <v>16</v>
      </c>
      <c r="I9" s="72" t="s">
        <v>17</v>
      </c>
    </row>
    <row r="10">
      <c r="C10" s="104" t="s">
        <v>18</v>
      </c>
      <c r="D10" s="105" t="s">
        <v>19</v>
      </c>
      <c r="E10" s="48"/>
      <c r="F10" s="53"/>
      <c r="G10" s="53"/>
      <c r="H10" s="43"/>
      <c r="I10" s="54"/>
    </row>
    <row r="11" ht="12" customHeight="1">
      <c r="C11" s="106" t="s">
        <v>20</v>
      </c>
      <c r="D11" s="107" t="s">
        <v>21</v>
      </c>
      <c r="E11" s="55">
        <f t="shared" ref="E11:E27" si="17">3*0.3</f>
        <v>0.89999999999999991</v>
      </c>
      <c r="F11" s="56">
        <f t="shared" ref="F11:F27" si="18">3*0.4</f>
        <v>1.2000000000000002</v>
      </c>
      <c r="G11" s="73">
        <f t="shared" ref="G11:G12" si="19">2.1*0.3</f>
        <v>0.63</v>
      </c>
      <c r="H11" s="74">
        <f t="shared" ref="H11:H27" si="20">SUM(E11:G11)</f>
        <v>2.73</v>
      </c>
      <c r="I11" s="108" t="s">
        <v>9</v>
      </c>
    </row>
    <row r="12" ht="12" customHeight="1">
      <c r="C12" s="106" t="s">
        <v>22</v>
      </c>
      <c r="D12" s="107" t="s">
        <v>23</v>
      </c>
      <c r="E12" s="55">
        <f t="shared" si="17"/>
        <v>0.89999999999999991</v>
      </c>
      <c r="F12" s="56">
        <f t="shared" si="18"/>
        <v>1.2000000000000002</v>
      </c>
      <c r="G12" s="73">
        <f t="shared" si="19"/>
        <v>0.63</v>
      </c>
      <c r="H12" s="74">
        <f t="shared" si="20"/>
        <v>2.73</v>
      </c>
      <c r="I12" s="108" t="s">
        <v>9</v>
      </c>
    </row>
    <row r="13" ht="12" customHeight="1">
      <c r="C13" s="106" t="s">
        <v>24</v>
      </c>
      <c r="D13" s="107" t="s">
        <v>25</v>
      </c>
      <c r="E13" s="55">
        <f t="shared" si="17"/>
        <v>0.89999999999999991</v>
      </c>
      <c r="F13" s="56">
        <f t="shared" si="18"/>
        <v>1.2000000000000002</v>
      </c>
      <c r="G13" s="73">
        <f t="shared" ref="G13:G14" si="21">3*0.3</f>
        <v>0.89999999999999991</v>
      </c>
      <c r="H13" s="74">
        <f t="shared" si="20"/>
        <v>3</v>
      </c>
      <c r="I13" s="108" t="s">
        <v>9</v>
      </c>
    </row>
    <row r="14" ht="12.75" customHeight="1">
      <c r="C14" s="106" t="s">
        <v>28</v>
      </c>
      <c r="D14" s="107" t="s">
        <v>29</v>
      </c>
      <c r="E14" s="55">
        <f t="shared" si="17"/>
        <v>0.89999999999999991</v>
      </c>
      <c r="F14" s="56">
        <f t="shared" si="18"/>
        <v>1.2000000000000002</v>
      </c>
      <c r="G14" s="73">
        <f t="shared" si="21"/>
        <v>0.89999999999999991</v>
      </c>
      <c r="H14" s="74">
        <f t="shared" si="20"/>
        <v>3</v>
      </c>
      <c r="I14" s="108" t="s">
        <v>9</v>
      </c>
    </row>
    <row r="15" ht="12" customHeight="1">
      <c r="C15" s="106" t="s">
        <v>30</v>
      </c>
      <c r="D15" s="107" t="s">
        <v>31</v>
      </c>
      <c r="E15" s="55">
        <f t="shared" si="17"/>
        <v>0.89999999999999991</v>
      </c>
      <c r="F15" s="56">
        <f t="shared" si="18"/>
        <v>1.2000000000000002</v>
      </c>
      <c r="G15" s="73">
        <f>2.1*0.3</f>
        <v>0.63</v>
      </c>
      <c r="H15" s="74">
        <f t="shared" si="20"/>
        <v>2.73</v>
      </c>
      <c r="I15" s="108" t="s">
        <v>9</v>
      </c>
    </row>
    <row r="16" ht="11.25" customHeight="1">
      <c r="C16" s="109" t="s">
        <v>34</v>
      </c>
      <c r="D16" s="110" t="s">
        <v>35</v>
      </c>
      <c r="E16" s="41"/>
      <c r="F16" s="41"/>
      <c r="G16" s="41"/>
      <c r="H16" s="75"/>
      <c r="I16" s="41"/>
    </row>
    <row r="17">
      <c r="C17" s="106" t="s">
        <v>38</v>
      </c>
      <c r="D17" s="107" t="s">
        <v>54</v>
      </c>
      <c r="E17" s="55">
        <f t="shared" si="17"/>
        <v>0.89999999999999991</v>
      </c>
      <c r="F17" s="56">
        <f t="shared" si="18"/>
        <v>1.2000000000000002</v>
      </c>
      <c r="G17" s="73">
        <f t="shared" ref="G17:G18" si="22">3*0.3</f>
        <v>0.89999999999999991</v>
      </c>
      <c r="H17" s="74">
        <f t="shared" si="20"/>
        <v>3</v>
      </c>
      <c r="I17" s="108" t="s">
        <v>9</v>
      </c>
    </row>
    <row r="18">
      <c r="C18" s="106" t="s">
        <v>40</v>
      </c>
      <c r="D18" s="107" t="s">
        <v>41</v>
      </c>
      <c r="E18" s="55">
        <f t="shared" si="17"/>
        <v>0.89999999999999991</v>
      </c>
      <c r="F18" s="56">
        <f t="shared" si="18"/>
        <v>1.2000000000000002</v>
      </c>
      <c r="G18" s="73">
        <f t="shared" si="22"/>
        <v>0.89999999999999991</v>
      </c>
      <c r="H18" s="74">
        <f t="shared" si="20"/>
        <v>3</v>
      </c>
      <c r="I18" s="108" t="s">
        <v>9</v>
      </c>
    </row>
    <row r="19" ht="12.75" customHeight="1">
      <c r="C19" s="104" t="s">
        <v>40</v>
      </c>
      <c r="D19" s="110" t="s">
        <v>47</v>
      </c>
      <c r="E19" s="58"/>
      <c r="F19" s="53"/>
      <c r="G19" s="53"/>
      <c r="H19" s="75"/>
      <c r="I19" s="54"/>
    </row>
    <row r="20">
      <c r="C20" s="106" t="s">
        <v>42</v>
      </c>
      <c r="D20" s="107" t="s">
        <v>48</v>
      </c>
      <c r="E20" s="55">
        <f t="shared" si="17"/>
        <v>0.89999999999999991</v>
      </c>
      <c r="F20" s="56">
        <f t="shared" si="18"/>
        <v>1.2000000000000002</v>
      </c>
      <c r="G20" s="73">
        <f t="shared" ref="G20:G21" si="23">2.1*0.3</f>
        <v>0.63</v>
      </c>
      <c r="H20" s="74">
        <f t="shared" si="20"/>
        <v>2.73</v>
      </c>
      <c r="I20" s="108" t="s">
        <v>9</v>
      </c>
    </row>
    <row r="21">
      <c r="C21" s="106" t="s">
        <v>55</v>
      </c>
      <c r="D21" s="107" t="s">
        <v>56</v>
      </c>
      <c r="E21" s="55">
        <f t="shared" si="17"/>
        <v>0.89999999999999991</v>
      </c>
      <c r="F21" s="56">
        <f t="shared" si="18"/>
        <v>1.2000000000000002</v>
      </c>
      <c r="G21" s="73">
        <f t="shared" si="23"/>
        <v>0.63</v>
      </c>
      <c r="H21" s="74">
        <f t="shared" si="20"/>
        <v>2.73</v>
      </c>
      <c r="I21" s="108" t="s">
        <v>9</v>
      </c>
    </row>
    <row r="22" ht="13.5" customHeight="1">
      <c r="C22" s="104" t="s">
        <v>57</v>
      </c>
      <c r="D22" s="105" t="s">
        <v>58</v>
      </c>
      <c r="E22" s="53"/>
      <c r="F22" s="53"/>
      <c r="G22" s="111"/>
      <c r="H22" s="85"/>
      <c r="I22" s="54"/>
    </row>
    <row r="23" ht="12" customHeight="1">
      <c r="C23" s="112" t="s">
        <v>59</v>
      </c>
      <c r="D23" s="105" t="s">
        <v>60</v>
      </c>
      <c r="E23" s="53"/>
      <c r="F23" s="53"/>
      <c r="G23" s="113"/>
      <c r="H23" s="114"/>
      <c r="I23" s="105"/>
    </row>
    <row r="24" ht="11.25" customHeight="1">
      <c r="C24" s="112" t="s">
        <v>72</v>
      </c>
      <c r="D24" s="105" t="s">
        <v>39</v>
      </c>
      <c r="E24" s="53"/>
      <c r="F24" s="53"/>
      <c r="G24" s="113"/>
      <c r="H24" s="114"/>
      <c r="I24" s="105"/>
    </row>
    <row r="25" ht="11.25" customHeight="1">
      <c r="C25" s="112" t="s">
        <v>73</v>
      </c>
      <c r="D25" s="105" t="s">
        <v>74</v>
      </c>
      <c r="E25" s="53"/>
      <c r="F25" s="53"/>
      <c r="G25" s="113"/>
      <c r="H25" s="114"/>
      <c r="I25" s="105"/>
    </row>
    <row r="26">
      <c r="C26" s="115" t="s">
        <v>79</v>
      </c>
      <c r="D26" s="107" t="s">
        <v>80</v>
      </c>
      <c r="E26" s="55">
        <f t="shared" si="17"/>
        <v>0.89999999999999991</v>
      </c>
      <c r="F26" s="56">
        <f t="shared" si="18"/>
        <v>1.2000000000000002</v>
      </c>
      <c r="G26" s="116">
        <f>2.33*0.3</f>
        <v>0.69899999999999995</v>
      </c>
      <c r="H26" s="74">
        <f t="shared" si="20"/>
        <v>2.7989999999999999</v>
      </c>
      <c r="I26" s="108" t="s">
        <v>9</v>
      </c>
    </row>
    <row r="27" ht="15">
      <c r="C27" s="115" t="s">
        <v>81</v>
      </c>
      <c r="D27" s="107" t="s">
        <v>82</v>
      </c>
      <c r="E27" s="55">
        <f t="shared" si="17"/>
        <v>0.89999999999999991</v>
      </c>
      <c r="F27" s="56">
        <f t="shared" si="18"/>
        <v>1.2000000000000002</v>
      </c>
      <c r="G27" s="73">
        <f>3*0.3</f>
        <v>0.89999999999999991</v>
      </c>
      <c r="H27" s="74">
        <f t="shared" si="20"/>
        <v>3</v>
      </c>
      <c r="I27" s="108" t="s">
        <v>9</v>
      </c>
    </row>
    <row r="28" ht="16.5" customHeight="1">
      <c r="C28" s="76"/>
      <c r="D28" s="77" t="s">
        <v>61</v>
      </c>
      <c r="E28" s="77" t="s">
        <v>62</v>
      </c>
      <c r="F28" s="77" t="s">
        <v>63</v>
      </c>
    </row>
    <row r="29" ht="28.5">
      <c r="C29" s="117" t="s">
        <v>64</v>
      </c>
      <c r="D29" s="84" t="s">
        <v>65</v>
      </c>
      <c r="E29" s="84" t="s">
        <v>66</v>
      </c>
      <c r="F29" s="84" t="s">
        <v>66</v>
      </c>
    </row>
    <row r="30" ht="15">
      <c r="C30" s="80" t="s">
        <v>67</v>
      </c>
      <c r="D30" s="84" t="s">
        <v>68</v>
      </c>
      <c r="E30" s="84" t="s">
        <v>69</v>
      </c>
      <c r="F30" s="84" t="s">
        <v>70</v>
      </c>
    </row>
    <row r="31">
      <c r="C31" s="118" t="s">
        <v>71</v>
      </c>
      <c r="D31" s="82"/>
      <c r="E31" s="82"/>
      <c r="F31" s="82"/>
    </row>
    <row r="32" ht="7.5" customHeight="1">
      <c r="C32" s="119"/>
      <c r="D32" s="83"/>
      <c r="E32" s="83"/>
      <c r="F32" s="83"/>
    </row>
  </sheetData>
  <sheetProtection algorithmName="SHA-512" hashValue="aBQ2lRwQ60yXw+noXfMgEw6nEhFrgKpyNCCZoKSJRYrdhMumwr07uYW7vKpfTKLe7hw8F4TTb8q7qwvg3fofeA==" saltValue="PI06DF/FnS3yataFpuSnZA==" spinCount="100000"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7">
    <mergeCell ref="B1:C4"/>
    <mergeCell ref="D1:H2"/>
    <mergeCell ref="D3:H4"/>
    <mergeCell ref="D6:E6"/>
    <mergeCell ref="D31:D32"/>
    <mergeCell ref="E31:E32"/>
    <mergeCell ref="F31:F32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2147483648" verticalDpi="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1" activeCellId="0" sqref="H11"/>
    </sheetView>
  </sheetViews>
  <sheetFormatPr baseColWidth="10" defaultRowHeight="14.25"/>
  <cols>
    <col customWidth="1" min="3" max="3" width="19.6640625"/>
    <col customWidth="1" min="4" max="4" width="13.44140625"/>
    <col customWidth="1" min="5" max="5" width="14.6640625"/>
  </cols>
  <sheetData>
    <row r="1" ht="15">
      <c r="A1" s="1"/>
      <c r="B1" s="2"/>
      <c r="C1" s="3" t="s">
        <v>0</v>
      </c>
      <c r="D1" s="4"/>
      <c r="E1" s="4"/>
      <c r="F1" s="4"/>
      <c r="G1" s="5"/>
      <c r="H1" s="6" t="s">
        <v>1</v>
      </c>
      <c r="I1" s="6" t="s">
        <v>44</v>
      </c>
    </row>
    <row r="2" ht="15">
      <c r="A2" s="7"/>
      <c r="B2" s="8"/>
      <c r="C2" s="9"/>
      <c r="D2" s="10"/>
      <c r="E2" s="10"/>
      <c r="F2" s="10"/>
      <c r="G2" s="11"/>
      <c r="H2" s="6" t="s">
        <v>3</v>
      </c>
      <c r="I2" s="6">
        <v>2</v>
      </c>
    </row>
    <row r="3" ht="15">
      <c r="A3" s="7"/>
      <c r="B3" s="8"/>
      <c r="C3" s="3" t="s">
        <v>75</v>
      </c>
      <c r="D3" s="4"/>
      <c r="E3" s="4"/>
      <c r="F3" s="4"/>
      <c r="G3" s="5"/>
      <c r="H3" s="6" t="s">
        <v>5</v>
      </c>
      <c r="I3" s="12">
        <v>43806</v>
      </c>
    </row>
    <row r="4" ht="15">
      <c r="A4" s="13"/>
      <c r="B4" s="14"/>
      <c r="C4" s="9"/>
      <c r="D4" s="10"/>
      <c r="E4" s="10"/>
      <c r="F4" s="10"/>
      <c r="G4" s="11"/>
      <c r="H4" s="6" t="s">
        <v>6</v>
      </c>
      <c r="I4" s="47" t="s">
        <v>45</v>
      </c>
    </row>
    <row r="5">
      <c r="B5" s="16"/>
      <c r="C5" s="66" t="s">
        <v>7</v>
      </c>
      <c r="D5" s="67">
        <v>2022</v>
      </c>
      <c r="E5" s="17"/>
      <c r="F5" s="17"/>
      <c r="G5" s="17"/>
      <c r="H5" s="18"/>
    </row>
    <row r="6">
      <c r="C6" s="22" t="s">
        <v>8</v>
      </c>
      <c r="D6" s="23"/>
      <c r="E6" s="17"/>
    </row>
    <row r="7">
      <c r="C7" s="25" t="s">
        <v>9</v>
      </c>
      <c r="D7" s="46" t="s">
        <v>10</v>
      </c>
      <c r="E7" s="17"/>
    </row>
    <row r="8">
      <c r="C8" s="48"/>
      <c r="D8" t="s">
        <v>46</v>
      </c>
    </row>
    <row r="9" ht="36">
      <c r="B9" s="96" t="s">
        <v>76</v>
      </c>
      <c r="C9" s="69" t="s">
        <v>77</v>
      </c>
      <c r="D9" s="97" t="s">
        <v>13</v>
      </c>
      <c r="E9" s="70" t="s">
        <v>14</v>
      </c>
      <c r="F9" s="71" t="s">
        <v>15</v>
      </c>
      <c r="G9" s="70" t="s">
        <v>16</v>
      </c>
      <c r="H9" s="72" t="s">
        <v>83</v>
      </c>
    </row>
    <row r="10">
      <c r="B10" s="104" t="s">
        <v>18</v>
      </c>
      <c r="C10" s="105" t="s">
        <v>19</v>
      </c>
      <c r="D10" s="48"/>
      <c r="E10" s="53"/>
      <c r="F10" s="53"/>
      <c r="G10" s="43"/>
      <c r="H10" s="54"/>
    </row>
    <row r="11">
      <c r="B11" s="106" t="s">
        <v>20</v>
      </c>
      <c r="C11" s="107" t="s">
        <v>21</v>
      </c>
      <c r="D11" s="55">
        <f t="shared" ref="D11:D27" si="24">3*0.3</f>
        <v>0.89999999999999991</v>
      </c>
      <c r="E11" s="56">
        <f t="shared" ref="E11:E27" si="25">3*0.4</f>
        <v>1.2000000000000002</v>
      </c>
      <c r="F11" s="73">
        <f>2.1*0.3</f>
        <v>0.63</v>
      </c>
      <c r="G11" s="74">
        <f t="shared" ref="G11:G27" si="26">SUM(D11:F11)</f>
        <v>2.73</v>
      </c>
      <c r="H11" s="108" t="s">
        <v>9</v>
      </c>
    </row>
    <row r="12">
      <c r="B12" s="106" t="s">
        <v>22</v>
      </c>
      <c r="C12" s="107" t="s">
        <v>84</v>
      </c>
      <c r="D12" s="55">
        <f t="shared" si="24"/>
        <v>0.89999999999999991</v>
      </c>
      <c r="E12" s="56">
        <f t="shared" si="25"/>
        <v>1.2000000000000002</v>
      </c>
      <c r="F12" s="73">
        <f t="shared" ref="F12:F27" si="27">3*0.3</f>
        <v>0.89999999999999991</v>
      </c>
      <c r="G12" s="74">
        <f t="shared" si="26"/>
        <v>3</v>
      </c>
      <c r="H12" s="108" t="s">
        <v>9</v>
      </c>
    </row>
    <row r="13">
      <c r="B13" s="106" t="s">
        <v>24</v>
      </c>
      <c r="C13" s="107" t="s">
        <v>25</v>
      </c>
      <c r="D13" s="55">
        <f t="shared" si="24"/>
        <v>0.89999999999999991</v>
      </c>
      <c r="E13" s="56">
        <f t="shared" si="25"/>
        <v>1.2000000000000002</v>
      </c>
      <c r="F13" s="73">
        <f t="shared" si="27"/>
        <v>0.89999999999999991</v>
      </c>
      <c r="G13" s="74">
        <f t="shared" si="26"/>
        <v>3</v>
      </c>
      <c r="H13" s="108" t="s">
        <v>9</v>
      </c>
    </row>
    <row r="14">
      <c r="B14" s="104" t="s">
        <v>28</v>
      </c>
      <c r="C14" s="110" t="s">
        <v>29</v>
      </c>
      <c r="D14" s="58"/>
      <c r="E14" s="53"/>
      <c r="F14" s="120"/>
      <c r="G14" s="75"/>
      <c r="H14" s="101"/>
    </row>
    <row r="15">
      <c r="B15" s="106" t="s">
        <v>30</v>
      </c>
      <c r="C15" s="107" t="s">
        <v>31</v>
      </c>
      <c r="D15" s="55">
        <f t="shared" si="24"/>
        <v>0.89999999999999991</v>
      </c>
      <c r="E15" s="56">
        <f t="shared" si="25"/>
        <v>1.2000000000000002</v>
      </c>
      <c r="F15" s="73">
        <f t="shared" si="27"/>
        <v>0.89999999999999991</v>
      </c>
      <c r="G15" s="74">
        <f t="shared" si="26"/>
        <v>3</v>
      </c>
      <c r="H15" s="108" t="s">
        <v>9</v>
      </c>
    </row>
    <row r="16">
      <c r="B16" s="109" t="s">
        <v>34</v>
      </c>
      <c r="C16" s="110" t="s">
        <v>35</v>
      </c>
      <c r="D16" s="41"/>
      <c r="E16" s="41"/>
      <c r="F16" s="41"/>
      <c r="G16" s="75"/>
      <c r="H16" s="41"/>
    </row>
    <row r="17">
      <c r="B17" s="106" t="s">
        <v>38</v>
      </c>
      <c r="C17" s="107" t="s">
        <v>54</v>
      </c>
      <c r="D17" s="55">
        <f t="shared" si="24"/>
        <v>0.89999999999999991</v>
      </c>
      <c r="E17" s="56">
        <f t="shared" si="25"/>
        <v>1.2000000000000002</v>
      </c>
      <c r="F17" s="73">
        <f t="shared" si="27"/>
        <v>0.89999999999999991</v>
      </c>
      <c r="G17" s="74">
        <f t="shared" si="26"/>
        <v>3</v>
      </c>
      <c r="H17" s="108" t="s">
        <v>9</v>
      </c>
    </row>
    <row r="18">
      <c r="B18" s="106" t="s">
        <v>40</v>
      </c>
      <c r="C18" s="107" t="s">
        <v>41</v>
      </c>
      <c r="D18" s="55">
        <f t="shared" si="24"/>
        <v>0.89999999999999991</v>
      </c>
      <c r="E18" s="56">
        <f t="shared" si="25"/>
        <v>1.2000000000000002</v>
      </c>
      <c r="F18" s="73">
        <f t="shared" si="27"/>
        <v>0.89999999999999991</v>
      </c>
      <c r="G18" s="74">
        <f t="shared" si="26"/>
        <v>3</v>
      </c>
      <c r="H18" s="108" t="s">
        <v>9</v>
      </c>
    </row>
    <row r="19">
      <c r="B19" s="104" t="s">
        <v>40</v>
      </c>
      <c r="C19" s="110" t="s">
        <v>47</v>
      </c>
      <c r="D19" s="58"/>
      <c r="E19" s="53"/>
      <c r="F19" s="53"/>
      <c r="G19" s="75"/>
      <c r="H19" s="54"/>
    </row>
    <row r="20">
      <c r="B20" s="106" t="s">
        <v>42</v>
      </c>
      <c r="C20" s="107" t="s">
        <v>85</v>
      </c>
      <c r="D20" s="55">
        <f t="shared" si="24"/>
        <v>0.89999999999999991</v>
      </c>
      <c r="E20" s="56">
        <f t="shared" si="25"/>
        <v>1.2000000000000002</v>
      </c>
      <c r="F20" s="73">
        <f t="shared" si="27"/>
        <v>0.89999999999999991</v>
      </c>
      <c r="G20" s="74">
        <f t="shared" si="26"/>
        <v>3</v>
      </c>
      <c r="H20" s="108" t="s">
        <v>9</v>
      </c>
    </row>
    <row r="21">
      <c r="B21" s="104" t="s">
        <v>55</v>
      </c>
      <c r="C21" s="110" t="s">
        <v>56</v>
      </c>
      <c r="D21" s="58"/>
      <c r="E21" s="53"/>
      <c r="F21" s="120"/>
      <c r="G21" s="75"/>
      <c r="H21" s="101"/>
    </row>
    <row r="22">
      <c r="B22" s="104" t="s">
        <v>57</v>
      </c>
      <c r="C22" s="105" t="s">
        <v>58</v>
      </c>
      <c r="D22" s="53"/>
      <c r="E22" s="53"/>
      <c r="F22" s="111"/>
      <c r="G22" s="85"/>
      <c r="H22" s="54"/>
    </row>
    <row r="23">
      <c r="B23" s="112" t="s">
        <v>59</v>
      </c>
      <c r="C23" s="105" t="s">
        <v>60</v>
      </c>
      <c r="D23" s="53"/>
      <c r="E23" s="53"/>
      <c r="F23" s="113"/>
      <c r="G23" s="114"/>
      <c r="H23" s="105"/>
    </row>
    <row r="24">
      <c r="B24" s="112" t="s">
        <v>72</v>
      </c>
      <c r="C24" s="105" t="s">
        <v>39</v>
      </c>
      <c r="D24" s="53"/>
      <c r="E24" s="53"/>
      <c r="F24" s="113"/>
      <c r="G24" s="114"/>
      <c r="H24" s="105"/>
    </row>
    <row r="25">
      <c r="B25" s="112" t="s">
        <v>73</v>
      </c>
      <c r="C25" s="105" t="s">
        <v>74</v>
      </c>
      <c r="D25" s="53"/>
      <c r="E25" s="53"/>
      <c r="F25" s="113"/>
      <c r="G25" s="114"/>
      <c r="H25" s="105"/>
    </row>
    <row r="26">
      <c r="B26" s="121" t="s">
        <v>79</v>
      </c>
      <c r="C26" s="110" t="s">
        <v>80</v>
      </c>
      <c r="D26" s="58"/>
      <c r="E26" s="53"/>
      <c r="F26" s="122"/>
      <c r="G26" s="75"/>
      <c r="H26" s="101"/>
    </row>
    <row r="27">
      <c r="B27" s="115" t="s">
        <v>81</v>
      </c>
      <c r="C27" s="107" t="s">
        <v>82</v>
      </c>
      <c r="D27" s="55">
        <f t="shared" si="24"/>
        <v>0.89999999999999991</v>
      </c>
      <c r="E27" s="56">
        <f t="shared" si="25"/>
        <v>1.2000000000000002</v>
      </c>
      <c r="F27" s="73">
        <f t="shared" si="27"/>
        <v>0.89999999999999991</v>
      </c>
      <c r="G27" s="74">
        <f t="shared" si="26"/>
        <v>3</v>
      </c>
      <c r="H27" s="108" t="s">
        <v>9</v>
      </c>
    </row>
  </sheetData>
  <sheetProtection algorithmName="SHA-512" hashValue="y//es1OesYfBpwMQhGuVka6HYASYqP2NSx8k/oZVbPyD2xj6QYPEq8n9Tgop8cnSrHGz5CKTV0Fm7PMw8xbaFw==" saltValue="2mf1aocXk82R+8QcY6DRWw==" spinCount="100000"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4">
    <mergeCell ref="A1:B4"/>
    <mergeCell ref="C1:G2"/>
    <mergeCell ref="C3:G4"/>
    <mergeCell ref="C6:D6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2147483648" verticalDpi="0" copies="1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8" activeCellId="0" sqref="D28:F28"/>
    </sheetView>
  </sheetViews>
  <sheetFormatPr baseColWidth="10" defaultRowHeight="14.25"/>
  <cols>
    <col customWidth="1" min="3" max="3" width="17"/>
  </cols>
  <sheetData>
    <row r="1" ht="15">
      <c r="A1" s="1"/>
      <c r="B1" s="2"/>
      <c r="C1" s="3" t="s">
        <v>0</v>
      </c>
      <c r="D1" s="4"/>
      <c r="E1" s="4"/>
      <c r="F1" s="4"/>
      <c r="G1" s="5"/>
      <c r="H1" s="6" t="s">
        <v>1</v>
      </c>
      <c r="I1" s="6" t="s">
        <v>44</v>
      </c>
    </row>
    <row r="2" ht="15">
      <c r="A2" s="7"/>
      <c r="B2" s="8"/>
      <c r="C2" s="9"/>
      <c r="D2" s="10"/>
      <c r="E2" s="10"/>
      <c r="F2" s="10"/>
      <c r="G2" s="11"/>
      <c r="H2" s="6" t="s">
        <v>3</v>
      </c>
      <c r="I2" s="6">
        <v>2</v>
      </c>
    </row>
    <row r="3" ht="15">
      <c r="A3" s="7"/>
      <c r="B3" s="8"/>
      <c r="C3" s="3" t="s">
        <v>75</v>
      </c>
      <c r="D3" s="4"/>
      <c r="E3" s="4"/>
      <c r="F3" s="4"/>
      <c r="G3" s="5"/>
      <c r="H3" s="6" t="s">
        <v>5</v>
      </c>
      <c r="I3" s="12">
        <v>43806</v>
      </c>
    </row>
    <row r="4" ht="15">
      <c r="A4" s="13"/>
      <c r="B4" s="14"/>
      <c r="C4" s="9"/>
      <c r="D4" s="10"/>
      <c r="E4" s="10"/>
      <c r="F4" s="10"/>
      <c r="G4" s="11"/>
      <c r="H4" s="6" t="s">
        <v>6</v>
      </c>
      <c r="I4" s="47" t="s">
        <v>45</v>
      </c>
    </row>
    <row r="5">
      <c r="B5" s="16"/>
      <c r="C5" s="66" t="s">
        <v>7</v>
      </c>
      <c r="D5" s="67">
        <v>2023</v>
      </c>
      <c r="E5" s="17"/>
      <c r="F5" s="17"/>
      <c r="G5" s="17"/>
      <c r="H5" s="18"/>
    </row>
    <row r="6">
      <c r="C6" s="22" t="s">
        <v>8</v>
      </c>
      <c r="D6" s="23"/>
      <c r="E6" s="17"/>
    </row>
    <row r="7">
      <c r="C7" s="25" t="s">
        <v>9</v>
      </c>
      <c r="D7" s="46" t="s">
        <v>10</v>
      </c>
      <c r="E7" s="17"/>
    </row>
    <row r="8">
      <c r="C8" s="48"/>
      <c r="D8" t="s">
        <v>46</v>
      </c>
    </row>
    <row r="9" ht="36">
      <c r="B9" s="96" t="s">
        <v>76</v>
      </c>
      <c r="C9" s="69" t="s">
        <v>77</v>
      </c>
      <c r="D9" s="97" t="s">
        <v>13</v>
      </c>
      <c r="E9" s="70" t="s">
        <v>14</v>
      </c>
      <c r="F9" s="71" t="s">
        <v>15</v>
      </c>
      <c r="G9" s="70" t="s">
        <v>16</v>
      </c>
      <c r="H9" s="72" t="s">
        <v>83</v>
      </c>
    </row>
    <row r="10">
      <c r="B10" s="104" t="s">
        <v>18</v>
      </c>
      <c r="C10" s="105" t="s">
        <v>19</v>
      </c>
      <c r="D10" s="48"/>
      <c r="E10" s="53"/>
      <c r="F10" s="53"/>
      <c r="G10" s="43"/>
      <c r="H10" s="54"/>
    </row>
    <row r="11">
      <c r="B11" s="106" t="s">
        <v>20</v>
      </c>
      <c r="C11" s="107" t="s">
        <v>21</v>
      </c>
      <c r="D11" s="55">
        <f t="shared" ref="D11:D28" si="28">3*0.3</f>
        <v>0.89999999999999991</v>
      </c>
      <c r="E11" s="56">
        <f t="shared" ref="E11:E28" si="29">3*0.4</f>
        <v>1.2000000000000002</v>
      </c>
      <c r="F11" s="73">
        <f t="shared" ref="F11:F28" si="30">3*0.3</f>
        <v>0.89999999999999991</v>
      </c>
      <c r="G11" s="74">
        <f t="shared" ref="G11:G28" si="31">SUM(D11:F11)</f>
        <v>3</v>
      </c>
      <c r="H11" s="108" t="s">
        <v>9</v>
      </c>
    </row>
    <row r="12">
      <c r="B12" s="106" t="s">
        <v>22</v>
      </c>
      <c r="C12" s="107" t="s">
        <v>84</v>
      </c>
      <c r="D12" s="55">
        <f t="shared" si="28"/>
        <v>0.89999999999999991</v>
      </c>
      <c r="E12" s="56">
        <f t="shared" si="29"/>
        <v>1.2000000000000002</v>
      </c>
      <c r="F12" s="73">
        <f t="shared" si="30"/>
        <v>0.89999999999999991</v>
      </c>
      <c r="G12" s="74">
        <f t="shared" si="31"/>
        <v>3</v>
      </c>
      <c r="H12" s="108" t="s">
        <v>9</v>
      </c>
    </row>
    <row r="13">
      <c r="B13" s="106" t="s">
        <v>24</v>
      </c>
      <c r="C13" s="107" t="s">
        <v>25</v>
      </c>
      <c r="D13" s="55">
        <f t="shared" si="28"/>
        <v>0.89999999999999991</v>
      </c>
      <c r="E13" s="56">
        <f t="shared" si="29"/>
        <v>1.2000000000000002</v>
      </c>
      <c r="F13" s="73">
        <f t="shared" si="30"/>
        <v>0.89999999999999991</v>
      </c>
      <c r="G13" s="74">
        <f t="shared" si="31"/>
        <v>3</v>
      </c>
      <c r="H13" s="108" t="s">
        <v>9</v>
      </c>
    </row>
    <row r="14">
      <c r="B14" s="104" t="s">
        <v>28</v>
      </c>
      <c r="C14" s="110" t="s">
        <v>29</v>
      </c>
      <c r="D14" s="58"/>
      <c r="E14" s="53"/>
      <c r="F14" s="120"/>
      <c r="G14" s="75"/>
      <c r="H14" s="101"/>
    </row>
    <row r="15">
      <c r="B15" s="106" t="s">
        <v>30</v>
      </c>
      <c r="C15" s="107" t="s">
        <v>31</v>
      </c>
      <c r="D15" s="55">
        <f t="shared" si="28"/>
        <v>0.89999999999999991</v>
      </c>
      <c r="E15" s="56">
        <f t="shared" si="29"/>
        <v>1.2000000000000002</v>
      </c>
      <c r="F15" s="73">
        <f t="shared" si="30"/>
        <v>0.89999999999999991</v>
      </c>
      <c r="G15" s="74">
        <f t="shared" si="31"/>
        <v>3</v>
      </c>
      <c r="H15" s="108" t="s">
        <v>9</v>
      </c>
    </row>
    <row r="16">
      <c r="B16" s="109" t="s">
        <v>34</v>
      </c>
      <c r="C16" s="110" t="s">
        <v>35</v>
      </c>
      <c r="D16" s="41"/>
      <c r="E16" s="41"/>
      <c r="F16" s="41"/>
      <c r="G16" s="75"/>
      <c r="H16" s="41"/>
    </row>
    <row r="17">
      <c r="B17" s="106" t="s">
        <v>38</v>
      </c>
      <c r="C17" s="107" t="s">
        <v>54</v>
      </c>
      <c r="D17" s="55">
        <f t="shared" si="28"/>
        <v>0.89999999999999991</v>
      </c>
      <c r="E17" s="56">
        <f t="shared" si="29"/>
        <v>1.2000000000000002</v>
      </c>
      <c r="F17" s="73">
        <f t="shared" si="30"/>
        <v>0.89999999999999991</v>
      </c>
      <c r="G17" s="74">
        <f t="shared" si="31"/>
        <v>3</v>
      </c>
      <c r="H17" s="108" t="s">
        <v>9</v>
      </c>
    </row>
    <row r="18">
      <c r="B18" s="106" t="s">
        <v>40</v>
      </c>
      <c r="C18" s="107" t="s">
        <v>41</v>
      </c>
      <c r="D18" s="55">
        <f t="shared" si="28"/>
        <v>0.89999999999999991</v>
      </c>
      <c r="E18" s="56">
        <f t="shared" si="29"/>
        <v>1.2000000000000002</v>
      </c>
      <c r="F18" s="73">
        <f t="shared" si="30"/>
        <v>0.89999999999999991</v>
      </c>
      <c r="G18" s="74">
        <f t="shared" si="31"/>
        <v>3</v>
      </c>
      <c r="H18" s="108" t="s">
        <v>9</v>
      </c>
    </row>
    <row r="19">
      <c r="B19" s="104" t="s">
        <v>40</v>
      </c>
      <c r="C19" s="110" t="s">
        <v>47</v>
      </c>
      <c r="D19" s="58"/>
      <c r="E19" s="53"/>
      <c r="F19" s="53"/>
      <c r="G19" s="75"/>
      <c r="H19" s="54"/>
    </row>
    <row r="20">
      <c r="B20" s="104" t="s">
        <v>42</v>
      </c>
      <c r="C20" s="110" t="s">
        <v>85</v>
      </c>
      <c r="D20" s="58"/>
      <c r="E20" s="53"/>
      <c r="F20" s="120"/>
      <c r="G20" s="75"/>
      <c r="H20" s="101"/>
    </row>
    <row r="21">
      <c r="B21" s="104" t="s">
        <v>55</v>
      </c>
      <c r="C21" s="110" t="s">
        <v>56</v>
      </c>
      <c r="D21" s="58"/>
      <c r="E21" s="53"/>
      <c r="F21" s="120"/>
      <c r="G21" s="75"/>
      <c r="H21" s="101"/>
    </row>
    <row r="22">
      <c r="B22" s="104" t="s">
        <v>57</v>
      </c>
      <c r="C22" s="105" t="s">
        <v>58</v>
      </c>
      <c r="D22" s="53"/>
      <c r="E22" s="53"/>
      <c r="F22" s="111"/>
      <c r="G22" s="85"/>
      <c r="H22" s="54"/>
    </row>
    <row r="23">
      <c r="B23" s="112" t="s">
        <v>59</v>
      </c>
      <c r="C23" s="105" t="s">
        <v>60</v>
      </c>
      <c r="D23" s="53"/>
      <c r="E23" s="53"/>
      <c r="F23" s="113"/>
      <c r="G23" s="114"/>
      <c r="H23" s="105"/>
    </row>
    <row r="24">
      <c r="B24" s="112" t="s">
        <v>72</v>
      </c>
      <c r="C24" s="105" t="s">
        <v>39</v>
      </c>
      <c r="D24" s="53"/>
      <c r="E24" s="53"/>
      <c r="F24" s="113"/>
      <c r="G24" s="114"/>
      <c r="H24" s="105"/>
    </row>
    <row r="25">
      <c r="B25" s="112" t="s">
        <v>73</v>
      </c>
      <c r="C25" s="105" t="s">
        <v>74</v>
      </c>
      <c r="D25" s="53"/>
      <c r="E25" s="53"/>
      <c r="F25" s="113"/>
      <c r="G25" s="114"/>
      <c r="H25" s="105"/>
    </row>
    <row r="26">
      <c r="B26" s="121" t="s">
        <v>79</v>
      </c>
      <c r="C26" s="110" t="s">
        <v>80</v>
      </c>
      <c r="D26" s="58"/>
      <c r="E26" s="53"/>
      <c r="F26" s="122"/>
      <c r="G26" s="75"/>
      <c r="H26" s="101"/>
    </row>
    <row r="27">
      <c r="B27" s="121" t="s">
        <v>81</v>
      </c>
      <c r="C27" s="110" t="s">
        <v>82</v>
      </c>
      <c r="D27" s="58"/>
      <c r="E27" s="53"/>
      <c r="F27" s="120"/>
      <c r="G27" s="75"/>
      <c r="H27" s="101"/>
    </row>
    <row r="28">
      <c r="B28" s="115" t="s">
        <v>86</v>
      </c>
      <c r="C28" s="107" t="s">
        <v>87</v>
      </c>
      <c r="D28" s="55">
        <f t="shared" si="28"/>
        <v>0.89999999999999991</v>
      </c>
      <c r="E28" s="56">
        <f t="shared" si="29"/>
        <v>1.2000000000000002</v>
      </c>
      <c r="F28" s="73">
        <f t="shared" si="30"/>
        <v>0.89999999999999991</v>
      </c>
      <c r="G28" s="74">
        <f t="shared" si="31"/>
        <v>3</v>
      </c>
      <c r="H28" s="108" t="s">
        <v>9</v>
      </c>
    </row>
  </sheetData>
  <sheetProtection algorithmName="SHA-512" hashValue="1xcMDO2hgrFKL0kZjfIWvz0G+GfeZNM+Tn3IEFjAofq7i+jjuq4RhEM155roapPzCp4HWRH2Sz2NoSEHttnqJw==" saltValue="E9sojm4yfJeNKQogelF4AA==" spinCount="100000"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4">
    <mergeCell ref="A1:B4"/>
    <mergeCell ref="C1:G2"/>
    <mergeCell ref="C3:G4"/>
    <mergeCell ref="C6:D6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2147483648" verticalDpi="0" copies="1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2" topLeftCell="A13" activePane="bottomLeft" state="frozen"/>
      <selection activeCell="F10" activeCellId="0" sqref="F10"/>
    </sheetView>
  </sheetViews>
  <sheetFormatPr baseColWidth="10" defaultRowHeight="14.25"/>
  <cols>
    <col customWidth="1" min="1" max="1" width="12.88671875"/>
    <col customWidth="1" min="2" max="2" width="9.77734375"/>
    <col customWidth="1" min="3" max="3" width="13.88671875"/>
    <col customWidth="1" min="4" max="4" width="17.44140625"/>
    <col customWidth="1" min="5" max="5" width="13.109375"/>
    <col customWidth="1" min="7" max="7" width="15.6640625"/>
  </cols>
  <sheetData>
    <row r="1" ht="15">
      <c r="A1" s="1"/>
      <c r="B1" s="2"/>
      <c r="C1" s="3" t="s">
        <v>0</v>
      </c>
      <c r="D1" s="4"/>
      <c r="E1" s="4"/>
      <c r="F1" s="4"/>
      <c r="G1" s="5"/>
      <c r="H1" s="6" t="s">
        <v>1</v>
      </c>
      <c r="I1" s="6" t="s">
        <v>44</v>
      </c>
    </row>
    <row r="2" ht="15">
      <c r="A2" s="7"/>
      <c r="B2" s="8"/>
      <c r="C2" s="9"/>
      <c r="D2" s="10"/>
      <c r="E2" s="10"/>
      <c r="F2" s="10"/>
      <c r="G2" s="11"/>
      <c r="H2" s="6" t="s">
        <v>3</v>
      </c>
      <c r="I2" s="6">
        <v>2</v>
      </c>
    </row>
    <row r="3" ht="15">
      <c r="A3" s="7"/>
      <c r="B3" s="8"/>
      <c r="C3" s="3" t="s">
        <v>75</v>
      </c>
      <c r="D3" s="4"/>
      <c r="E3" s="4"/>
      <c r="F3" s="4"/>
      <c r="G3" s="5"/>
      <c r="H3" s="6" t="s">
        <v>5</v>
      </c>
      <c r="I3" s="12">
        <v>43806</v>
      </c>
      <c r="J3" s="16"/>
      <c r="M3" s="17"/>
      <c r="N3" s="17"/>
      <c r="O3" s="17"/>
      <c r="P3" s="18"/>
    </row>
    <row r="4" ht="15">
      <c r="A4" s="13"/>
      <c r="B4" s="14"/>
      <c r="C4" s="9"/>
      <c r="D4" s="10"/>
      <c r="E4" s="10"/>
      <c r="F4" s="10"/>
      <c r="G4" s="11"/>
      <c r="H4" s="6" t="s">
        <v>6</v>
      </c>
      <c r="I4" s="47" t="s">
        <v>45</v>
      </c>
      <c r="M4" s="17"/>
    </row>
    <row r="5">
      <c r="M5" s="17"/>
    </row>
    <row r="6">
      <c r="A6" s="123" t="s">
        <v>88</v>
      </c>
      <c r="B6" s="124"/>
      <c r="C6" s="125"/>
    </row>
    <row r="7" ht="13.800000000000001" customHeight="1">
      <c r="A7" s="126" t="s">
        <v>89</v>
      </c>
      <c r="B7" s="126"/>
      <c r="C7" s="94"/>
    </row>
    <row r="8">
      <c r="A8" s="126" t="s">
        <v>46</v>
      </c>
      <c r="B8" s="126"/>
      <c r="C8" s="127"/>
    </row>
    <row r="9">
      <c r="A9" s="126" t="s">
        <v>10</v>
      </c>
      <c r="B9" s="126"/>
      <c r="C9" s="128"/>
    </row>
    <row r="10" s="16" customFormat="1">
      <c r="A10" s="129"/>
      <c r="B10" s="129"/>
      <c r="C10" s="130"/>
    </row>
    <row r="11" ht="16.800000000000001" customHeight="1">
      <c r="A11" s="131" t="s">
        <v>76</v>
      </c>
      <c r="B11" s="132" t="s">
        <v>77</v>
      </c>
      <c r="C11" s="132"/>
      <c r="D11" s="131" t="s">
        <v>13</v>
      </c>
      <c r="E11" s="132" t="s">
        <v>14</v>
      </c>
      <c r="F11" s="132" t="s">
        <v>15</v>
      </c>
      <c r="G11" s="132" t="s">
        <v>90</v>
      </c>
      <c r="H11" s="132" t="s">
        <v>83</v>
      </c>
      <c r="I11" s="133"/>
    </row>
    <row r="12" ht="22.800000000000001" customHeight="1">
      <c r="A12" s="131"/>
      <c r="B12" s="132"/>
      <c r="C12" s="132"/>
      <c r="D12" s="131"/>
      <c r="E12" s="132"/>
      <c r="F12" s="132"/>
      <c r="G12" s="132"/>
      <c r="H12" s="132"/>
      <c r="I12" s="133"/>
    </row>
    <row r="13">
      <c r="A13" s="134" t="s">
        <v>18</v>
      </c>
      <c r="B13" s="135" t="s">
        <v>19</v>
      </c>
      <c r="C13" s="135"/>
      <c r="D13" s="136"/>
      <c r="E13" s="137"/>
      <c r="F13" s="137"/>
      <c r="G13" s="138"/>
      <c r="H13" s="139"/>
      <c r="I13" s="133"/>
    </row>
    <row r="14">
      <c r="A14" s="140" t="s">
        <v>20</v>
      </c>
      <c r="B14" s="141" t="s">
        <v>21</v>
      </c>
      <c r="C14" s="141"/>
      <c r="D14" s="142">
        <f t="shared" ref="D14:D31" si="32">3*0.3</f>
        <v>0.89999999999999991</v>
      </c>
      <c r="E14" s="143">
        <f t="shared" ref="E14:E31" si="33">3*0.4</f>
        <v>1.2000000000000002</v>
      </c>
      <c r="F14" s="144">
        <f t="shared" ref="F14:F31" si="34">3*0.3</f>
        <v>0.89999999999999991</v>
      </c>
      <c r="G14" s="145">
        <f t="shared" ref="G14:G31" si="35">SUM(D14:F14)</f>
        <v>3</v>
      </c>
      <c r="H14" s="146" t="s">
        <v>9</v>
      </c>
      <c r="I14" s="133"/>
    </row>
    <row r="15">
      <c r="A15" s="140" t="s">
        <v>22</v>
      </c>
      <c r="B15" s="141" t="s">
        <v>84</v>
      </c>
      <c r="C15" s="141"/>
      <c r="D15" s="142">
        <f t="shared" si="32"/>
        <v>0.89999999999999991</v>
      </c>
      <c r="E15" s="143">
        <f t="shared" si="33"/>
        <v>1.2000000000000002</v>
      </c>
      <c r="F15" s="144">
        <f t="shared" si="34"/>
        <v>0.89999999999999991</v>
      </c>
      <c r="G15" s="145">
        <f t="shared" si="35"/>
        <v>3</v>
      </c>
      <c r="H15" s="146" t="s">
        <v>9</v>
      </c>
      <c r="I15" s="133"/>
    </row>
    <row r="16">
      <c r="A16" s="140" t="s">
        <v>24</v>
      </c>
      <c r="B16" s="141" t="s">
        <v>25</v>
      </c>
      <c r="C16" s="141"/>
      <c r="D16" s="142">
        <f t="shared" si="32"/>
        <v>0.89999999999999991</v>
      </c>
      <c r="E16" s="143">
        <f t="shared" si="33"/>
        <v>1.2000000000000002</v>
      </c>
      <c r="F16" s="144">
        <f t="shared" si="34"/>
        <v>0.89999999999999991</v>
      </c>
      <c r="G16" s="145">
        <f t="shared" si="35"/>
        <v>3</v>
      </c>
      <c r="H16" s="146" t="s">
        <v>9</v>
      </c>
      <c r="I16" s="133"/>
    </row>
    <row r="17">
      <c r="A17" s="140" t="s">
        <v>28</v>
      </c>
      <c r="B17" s="141" t="s">
        <v>29</v>
      </c>
      <c r="C17" s="141"/>
      <c r="D17" s="142"/>
      <c r="E17" s="143"/>
      <c r="F17" s="144"/>
      <c r="G17" s="145"/>
      <c r="H17" s="147"/>
      <c r="I17" s="133"/>
    </row>
    <row r="18">
      <c r="A18" s="140" t="s">
        <v>30</v>
      </c>
      <c r="B18" s="141" t="s">
        <v>31</v>
      </c>
      <c r="C18" s="141"/>
      <c r="D18" s="142">
        <f t="shared" si="32"/>
        <v>0.89999999999999991</v>
      </c>
      <c r="E18" s="143">
        <f t="shared" si="33"/>
        <v>1.2000000000000002</v>
      </c>
      <c r="F18" s="144">
        <f t="shared" si="34"/>
        <v>0.89999999999999991</v>
      </c>
      <c r="G18" s="145">
        <f t="shared" si="35"/>
        <v>3</v>
      </c>
      <c r="H18" s="146" t="s">
        <v>9</v>
      </c>
      <c r="I18" s="133"/>
    </row>
    <row r="19">
      <c r="A19" s="140" t="s">
        <v>34</v>
      </c>
      <c r="B19" s="141" t="s">
        <v>35</v>
      </c>
      <c r="C19" s="141"/>
      <c r="D19" s="148"/>
      <c r="E19" s="148"/>
      <c r="F19" s="148"/>
      <c r="G19" s="145"/>
      <c r="H19" s="149"/>
      <c r="I19" s="133"/>
    </row>
    <row r="20">
      <c r="A20" s="140" t="s">
        <v>38</v>
      </c>
      <c r="B20" s="141" t="s">
        <v>54</v>
      </c>
      <c r="C20" s="141"/>
      <c r="D20" s="142">
        <f t="shared" si="32"/>
        <v>0.89999999999999991</v>
      </c>
      <c r="E20" s="143">
        <f t="shared" si="33"/>
        <v>1.2000000000000002</v>
      </c>
      <c r="F20" s="144">
        <f t="shared" si="34"/>
        <v>0.89999999999999991</v>
      </c>
      <c r="G20" s="145">
        <f t="shared" si="35"/>
        <v>3</v>
      </c>
      <c r="H20" s="146" t="s">
        <v>9</v>
      </c>
      <c r="I20" s="133"/>
    </row>
    <row r="21">
      <c r="A21" s="140" t="s">
        <v>40</v>
      </c>
      <c r="B21" s="141" t="s">
        <v>41</v>
      </c>
      <c r="C21" s="141"/>
      <c r="D21" s="142">
        <f t="shared" si="32"/>
        <v>0.89999999999999991</v>
      </c>
      <c r="E21" s="143">
        <f t="shared" si="33"/>
        <v>1.2000000000000002</v>
      </c>
      <c r="F21" s="144">
        <f t="shared" si="34"/>
        <v>0.89999999999999991</v>
      </c>
      <c r="G21" s="145">
        <f t="shared" si="35"/>
        <v>3</v>
      </c>
      <c r="H21" s="146" t="s">
        <v>9</v>
      </c>
      <c r="I21" s="133"/>
    </row>
    <row r="22">
      <c r="A22" s="140" t="s">
        <v>40</v>
      </c>
      <c r="B22" s="141" t="s">
        <v>47</v>
      </c>
      <c r="C22" s="141"/>
      <c r="D22" s="142"/>
      <c r="E22" s="143"/>
      <c r="F22" s="143"/>
      <c r="G22" s="145"/>
      <c r="H22" s="150"/>
      <c r="I22" s="133"/>
    </row>
    <row r="23">
      <c r="A23" s="140" t="s">
        <v>42</v>
      </c>
      <c r="B23" s="141" t="s">
        <v>85</v>
      </c>
      <c r="C23" s="141"/>
      <c r="D23" s="142"/>
      <c r="E23" s="143"/>
      <c r="F23" s="144"/>
      <c r="G23" s="145"/>
      <c r="H23" s="147"/>
      <c r="I23" s="133"/>
    </row>
    <row r="24">
      <c r="A24" s="140" t="s">
        <v>55</v>
      </c>
      <c r="B24" s="141" t="s">
        <v>56</v>
      </c>
      <c r="C24" s="141"/>
      <c r="D24" s="142"/>
      <c r="E24" s="143"/>
      <c r="F24" s="144"/>
      <c r="G24" s="145"/>
      <c r="H24" s="147"/>
      <c r="I24" s="133"/>
    </row>
    <row r="25">
      <c r="A25" s="140" t="s">
        <v>57</v>
      </c>
      <c r="B25" s="141" t="s">
        <v>58</v>
      </c>
      <c r="C25" s="141"/>
      <c r="D25" s="143"/>
      <c r="E25" s="143"/>
      <c r="F25" s="151"/>
      <c r="G25" s="152"/>
      <c r="H25" s="150"/>
      <c r="I25" s="133"/>
    </row>
    <row r="26">
      <c r="A26" s="140" t="s">
        <v>59</v>
      </c>
      <c r="B26" s="141" t="s">
        <v>60</v>
      </c>
      <c r="C26" s="141"/>
      <c r="D26" s="143"/>
      <c r="E26" s="143"/>
      <c r="F26" s="153"/>
      <c r="G26" s="154"/>
      <c r="H26" s="155"/>
      <c r="I26" s="133"/>
    </row>
    <row r="27">
      <c r="A27" s="140" t="s">
        <v>72</v>
      </c>
      <c r="B27" s="141" t="s">
        <v>39</v>
      </c>
      <c r="C27" s="141"/>
      <c r="D27" s="143"/>
      <c r="E27" s="143"/>
      <c r="F27" s="153"/>
      <c r="G27" s="154"/>
      <c r="H27" s="155"/>
      <c r="I27" s="133"/>
    </row>
    <row r="28">
      <c r="A28" s="140" t="s">
        <v>73</v>
      </c>
      <c r="B28" s="141" t="s">
        <v>74</v>
      </c>
      <c r="C28" s="141"/>
      <c r="D28" s="143"/>
      <c r="E28" s="143"/>
      <c r="F28" s="153"/>
      <c r="G28" s="154"/>
      <c r="H28" s="155"/>
      <c r="I28" s="133"/>
    </row>
    <row r="29">
      <c r="A29" s="140" t="s">
        <v>79</v>
      </c>
      <c r="B29" s="141" t="s">
        <v>80</v>
      </c>
      <c r="C29" s="141"/>
      <c r="D29" s="142"/>
      <c r="E29" s="143"/>
      <c r="F29" s="156"/>
      <c r="G29" s="145"/>
      <c r="H29" s="147"/>
      <c r="I29" s="133"/>
    </row>
    <row r="30">
      <c r="A30" s="140" t="s">
        <v>81</v>
      </c>
      <c r="B30" s="141" t="s">
        <v>82</v>
      </c>
      <c r="C30" s="141"/>
      <c r="D30" s="142"/>
      <c r="E30" s="143"/>
      <c r="F30" s="144"/>
      <c r="G30" s="145"/>
      <c r="H30" s="147"/>
      <c r="I30" s="133"/>
    </row>
    <row r="31">
      <c r="A31" s="140" t="s">
        <v>86</v>
      </c>
      <c r="B31" s="141" t="s">
        <v>87</v>
      </c>
      <c r="C31" s="141"/>
      <c r="D31" s="142">
        <f t="shared" si="32"/>
        <v>0.89999999999999991</v>
      </c>
      <c r="E31" s="143">
        <f t="shared" si="33"/>
        <v>1.2000000000000002</v>
      </c>
      <c r="F31" s="144">
        <f t="shared" si="34"/>
        <v>0.89999999999999991</v>
      </c>
      <c r="G31" s="145">
        <f t="shared" si="35"/>
        <v>3</v>
      </c>
      <c r="H31" s="146" t="s">
        <v>9</v>
      </c>
      <c r="I31" s="133"/>
    </row>
    <row r="32">
      <c r="A32" s="133"/>
      <c r="B32" s="133"/>
      <c r="C32" s="133"/>
      <c r="D32" s="133"/>
      <c r="E32" s="133"/>
      <c r="F32" s="133"/>
      <c r="G32" s="133"/>
      <c r="H32" s="133"/>
      <c r="I32" s="133"/>
    </row>
  </sheetData>
  <mergeCells count="33">
    <mergeCell ref="A1:B4"/>
    <mergeCell ref="C1:G2"/>
    <mergeCell ref="C3:G4"/>
    <mergeCell ref="A6:C6"/>
    <mergeCell ref="A7:B7"/>
    <mergeCell ref="A8:B8"/>
    <mergeCell ref="A9:B9"/>
    <mergeCell ref="A11:A12"/>
    <mergeCell ref="B11:C12"/>
    <mergeCell ref="D11:D12"/>
    <mergeCell ref="E11:E12"/>
    <mergeCell ref="F11:F12"/>
    <mergeCell ref="G11:G12"/>
    <mergeCell ref="H11:H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0" verticalDpi="0" copies="1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31" activeCellId="0" sqref="H31"/>
    </sheetView>
  </sheetViews>
  <sheetFormatPr baseColWidth="10" defaultRowHeight="14.25"/>
  <sheetData>
    <row r="1" ht="15">
      <c r="A1" s="1"/>
      <c r="B1" s="2"/>
      <c r="C1" s="3" t="s">
        <v>0</v>
      </c>
      <c r="D1" s="4"/>
      <c r="E1" s="4"/>
      <c r="F1" s="4"/>
      <c r="G1" s="5"/>
      <c r="H1" s="6" t="s">
        <v>1</v>
      </c>
      <c r="I1" s="6" t="s">
        <v>44</v>
      </c>
    </row>
    <row r="2" ht="15">
      <c r="A2" s="7"/>
      <c r="B2" s="8"/>
      <c r="C2" s="9"/>
      <c r="D2" s="10"/>
      <c r="E2" s="10"/>
      <c r="F2" s="10"/>
      <c r="G2" s="11"/>
      <c r="H2" s="6" t="s">
        <v>3</v>
      </c>
      <c r="I2" s="6">
        <v>2</v>
      </c>
    </row>
    <row r="3" ht="15">
      <c r="A3" s="7"/>
      <c r="B3" s="8"/>
      <c r="C3" s="3" t="s">
        <v>75</v>
      </c>
      <c r="D3" s="4"/>
      <c r="E3" s="4"/>
      <c r="F3" s="4"/>
      <c r="G3" s="5"/>
      <c r="H3" s="6" t="s">
        <v>5</v>
      </c>
      <c r="I3" s="12">
        <v>43806</v>
      </c>
    </row>
    <row r="4" ht="15">
      <c r="A4" s="13"/>
      <c r="B4" s="14"/>
      <c r="C4" s="9"/>
      <c r="D4" s="10"/>
      <c r="E4" s="10"/>
      <c r="F4" s="10"/>
      <c r="G4" s="11"/>
      <c r="H4" s="6" t="s">
        <v>6</v>
      </c>
      <c r="I4" s="47" t="s">
        <v>45</v>
      </c>
    </row>
    <row r="5">
      <c r="B5" s="16"/>
      <c r="C5" s="66" t="s">
        <v>7</v>
      </c>
      <c r="D5" s="67">
        <v>2024</v>
      </c>
      <c r="E5" s="17"/>
      <c r="F5" s="17"/>
      <c r="G5" s="17"/>
      <c r="H5" s="18"/>
    </row>
    <row r="6">
      <c r="C6" s="22" t="s">
        <v>8</v>
      </c>
      <c r="D6" s="23"/>
      <c r="E6" s="17"/>
    </row>
    <row r="7">
      <c r="C7" s="25" t="s">
        <v>9</v>
      </c>
      <c r="D7" s="46" t="s">
        <v>10</v>
      </c>
      <c r="E7" s="17"/>
    </row>
    <row r="8">
      <c r="C8" s="48"/>
      <c r="D8" t="s">
        <v>46</v>
      </c>
    </row>
    <row r="9" ht="42.75">
      <c r="B9" s="96" t="s">
        <v>76</v>
      </c>
      <c r="C9" s="69" t="s">
        <v>77</v>
      </c>
      <c r="D9" s="97" t="s">
        <v>13</v>
      </c>
      <c r="E9" s="70" t="s">
        <v>14</v>
      </c>
      <c r="F9" s="71" t="s">
        <v>15</v>
      </c>
      <c r="G9" s="70" t="s">
        <v>16</v>
      </c>
      <c r="H9" s="72" t="s">
        <v>83</v>
      </c>
    </row>
    <row r="10">
      <c r="B10" s="104" t="s">
        <v>18</v>
      </c>
      <c r="C10" s="105" t="s">
        <v>19</v>
      </c>
      <c r="D10" s="48"/>
      <c r="E10" s="53"/>
      <c r="F10" s="53"/>
      <c r="G10" s="43"/>
      <c r="H10" s="54"/>
    </row>
    <row r="11">
      <c r="B11" s="106" t="s">
        <v>20</v>
      </c>
      <c r="C11" s="107" t="s">
        <v>21</v>
      </c>
      <c r="D11" s="55"/>
      <c r="E11" s="56"/>
      <c r="F11" s="73"/>
      <c r="G11" s="74"/>
      <c r="H11" s="108" t="s">
        <v>9</v>
      </c>
    </row>
    <row r="12">
      <c r="B12" s="106" t="s">
        <v>22</v>
      </c>
      <c r="C12" s="107" t="s">
        <v>84</v>
      </c>
      <c r="D12" s="55"/>
      <c r="E12" s="56"/>
      <c r="F12" s="73"/>
      <c r="G12" s="74"/>
      <c r="H12" s="108" t="s">
        <v>9</v>
      </c>
    </row>
    <row r="13">
      <c r="B13" s="106" t="s">
        <v>24</v>
      </c>
      <c r="C13" s="107" t="s">
        <v>25</v>
      </c>
      <c r="D13" s="55"/>
      <c r="E13" s="56"/>
      <c r="F13" s="73"/>
      <c r="G13" s="74"/>
      <c r="H13" s="108" t="s">
        <v>9</v>
      </c>
    </row>
    <row r="14">
      <c r="B14" s="104" t="s">
        <v>28</v>
      </c>
      <c r="C14" s="110" t="s">
        <v>29</v>
      </c>
      <c r="D14" s="58"/>
      <c r="E14" s="53"/>
      <c r="F14" s="120"/>
      <c r="G14" s="75"/>
      <c r="H14" s="101"/>
    </row>
    <row r="15">
      <c r="B15" s="106" t="s">
        <v>30</v>
      </c>
      <c r="C15" s="107" t="s">
        <v>31</v>
      </c>
      <c r="D15" s="55"/>
      <c r="E15" s="56"/>
      <c r="F15" s="73"/>
      <c r="G15" s="74"/>
      <c r="H15" s="108" t="s">
        <v>9</v>
      </c>
    </row>
    <row r="16">
      <c r="B16" s="109" t="s">
        <v>34</v>
      </c>
      <c r="C16" s="110" t="s">
        <v>35</v>
      </c>
      <c r="D16" s="41"/>
      <c r="E16" s="41"/>
      <c r="F16" s="41"/>
      <c r="G16" s="75"/>
      <c r="H16" s="41"/>
    </row>
    <row r="17">
      <c r="B17" s="106" t="s">
        <v>38</v>
      </c>
      <c r="C17" s="107" t="s">
        <v>54</v>
      </c>
      <c r="D17" s="55"/>
      <c r="E17" s="56"/>
      <c r="F17" s="73"/>
      <c r="G17" s="74"/>
      <c r="H17" s="108" t="s">
        <v>9</v>
      </c>
    </row>
    <row r="18">
      <c r="B18" s="106" t="s">
        <v>40</v>
      </c>
      <c r="C18" s="107" t="s">
        <v>41</v>
      </c>
      <c r="D18" s="55"/>
      <c r="E18" s="56"/>
      <c r="F18" s="73"/>
      <c r="G18" s="74"/>
      <c r="H18" s="108" t="s">
        <v>9</v>
      </c>
    </row>
    <row r="19">
      <c r="B19" s="104" t="s">
        <v>40</v>
      </c>
      <c r="C19" s="110" t="s">
        <v>47</v>
      </c>
      <c r="D19" s="58"/>
      <c r="E19" s="53"/>
      <c r="F19" s="53"/>
      <c r="G19" s="75"/>
      <c r="H19" s="54"/>
    </row>
    <row r="20">
      <c r="B20" s="104" t="s">
        <v>42</v>
      </c>
      <c r="C20" s="110" t="s">
        <v>85</v>
      </c>
      <c r="D20" s="58"/>
      <c r="E20" s="53"/>
      <c r="F20" s="120"/>
      <c r="G20" s="75"/>
      <c r="H20" s="101"/>
    </row>
    <row r="21">
      <c r="B21" s="104" t="s">
        <v>55</v>
      </c>
      <c r="C21" s="110" t="s">
        <v>56</v>
      </c>
      <c r="D21" s="58"/>
      <c r="E21" s="53"/>
      <c r="F21" s="120"/>
      <c r="G21" s="75"/>
      <c r="H21" s="101"/>
    </row>
    <row r="22">
      <c r="B22" s="104" t="s">
        <v>57</v>
      </c>
      <c r="C22" s="105" t="s">
        <v>58</v>
      </c>
      <c r="D22" s="53"/>
      <c r="E22" s="53"/>
      <c r="F22" s="111"/>
      <c r="G22" s="85"/>
      <c r="H22" s="54"/>
    </row>
    <row r="23">
      <c r="B23" s="112" t="s">
        <v>59</v>
      </c>
      <c r="C23" s="105" t="s">
        <v>60</v>
      </c>
      <c r="D23" s="53"/>
      <c r="E23" s="53"/>
      <c r="F23" s="113"/>
      <c r="G23" s="114"/>
      <c r="H23" s="105"/>
    </row>
    <row r="24">
      <c r="B24" s="112" t="s">
        <v>72</v>
      </c>
      <c r="C24" s="105" t="s">
        <v>39</v>
      </c>
      <c r="D24" s="53"/>
      <c r="E24" s="53"/>
      <c r="F24" s="113"/>
      <c r="G24" s="114"/>
      <c r="H24" s="105"/>
    </row>
    <row r="25">
      <c r="B25" s="112" t="s">
        <v>73</v>
      </c>
      <c r="C25" s="105" t="s">
        <v>74</v>
      </c>
      <c r="D25" s="53"/>
      <c r="E25" s="53"/>
      <c r="F25" s="113"/>
      <c r="G25" s="114"/>
      <c r="H25" s="105"/>
    </row>
    <row r="26">
      <c r="B26" s="121" t="s">
        <v>79</v>
      </c>
      <c r="C26" s="110" t="s">
        <v>80</v>
      </c>
      <c r="D26" s="58"/>
      <c r="E26" s="53"/>
      <c r="F26" s="122"/>
      <c r="G26" s="75"/>
      <c r="H26" s="101"/>
    </row>
    <row r="27">
      <c r="B27" s="121" t="s">
        <v>81</v>
      </c>
      <c r="C27" s="110" t="s">
        <v>82</v>
      </c>
      <c r="D27" s="58"/>
      <c r="E27" s="53"/>
      <c r="F27" s="120"/>
      <c r="G27" s="75"/>
      <c r="H27" s="101"/>
    </row>
    <row r="28">
      <c r="B28" s="115" t="s">
        <v>86</v>
      </c>
      <c r="C28" s="107" t="s">
        <v>87</v>
      </c>
      <c r="D28" s="55"/>
      <c r="E28" s="56"/>
      <c r="F28" s="73"/>
      <c r="G28" s="74"/>
      <c r="H28" s="108" t="s">
        <v>9</v>
      </c>
    </row>
  </sheetData>
  <mergeCells count="4">
    <mergeCell ref="A1:B4"/>
    <mergeCell ref="C1:G2"/>
    <mergeCell ref="C3:G4"/>
    <mergeCell ref="C6:D6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</dc:creator>
  <cp:lastModifiedBy>resptec</cp:lastModifiedBy>
  <cp:revision>1</cp:revision>
  <dcterms:created xsi:type="dcterms:W3CDTF">2013-04-23T16:58:23Z</dcterms:created>
  <dcterms:modified xsi:type="dcterms:W3CDTF">2025-08-07T09:56:23Z</dcterms:modified>
</cp:coreProperties>
</file>