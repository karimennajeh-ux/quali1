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ystème management qualité\Formulaire\"/>
    </mc:Choice>
  </mc:AlternateContent>
  <bookViews>
    <workbookView xWindow="0" yWindow="0" windowWidth="10560" windowHeight="7560" firstSheet="3" activeTab="5"/>
  </bookViews>
  <sheets>
    <sheet name="T.Am.13" sheetId="9" r:id="rId1"/>
    <sheet name="T.Am.14" sheetId="12" r:id="rId2"/>
    <sheet name="T.Am.12" sheetId="13" r:id="rId3"/>
    <sheet name="T.Lu.11-" sheetId="14" r:id="rId4"/>
    <sheet name="T.Ve-16-" sheetId="15" r:id="rId5"/>
    <sheet name="T.Am.15-" sheetId="1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6" i="16" l="1"/>
  <c r="H28" i="16" s="1"/>
  <c r="D26" i="16"/>
  <c r="C28" i="16" s="1"/>
  <c r="I26" i="15"/>
  <c r="H28" i="15" s="1"/>
  <c r="D26" i="15"/>
  <c r="C28" i="15" s="1"/>
  <c r="H28" i="14"/>
  <c r="C28" i="14"/>
  <c r="I26" i="14"/>
  <c r="D26" i="14"/>
  <c r="I26" i="13" l="1"/>
  <c r="H28" i="13" s="1"/>
  <c r="D26" i="13"/>
  <c r="C28" i="13" s="1"/>
  <c r="I26" i="12"/>
  <c r="H28" i="12" s="1"/>
  <c r="D26" i="12"/>
  <c r="C28" i="12" s="1"/>
  <c r="I26" i="9"/>
  <c r="H28" i="9" s="1"/>
  <c r="D26" i="9"/>
  <c r="C28" i="9" s="1"/>
</calcChain>
</file>

<file path=xl/sharedStrings.xml><?xml version="1.0" encoding="utf-8"?>
<sst xmlns="http://schemas.openxmlformats.org/spreadsheetml/2006/main" count="271" uniqueCount="48">
  <si>
    <t>Tableau d'interpolation</t>
  </si>
  <si>
    <t>a=</t>
  </si>
  <si>
    <t>f(a)=</t>
  </si>
  <si>
    <t>b=</t>
  </si>
  <si>
    <t>f(b)=</t>
  </si>
  <si>
    <t>x=</t>
  </si>
  <si>
    <t>f(x)=</t>
  </si>
  <si>
    <t>valeur corrigé en °C</t>
  </si>
  <si>
    <t>valeur corrigé en % HR</t>
  </si>
  <si>
    <t>Température en °C</t>
  </si>
  <si>
    <t>Humidité  en % HR</t>
  </si>
  <si>
    <t xml:space="preserve">
FORMULAIRE</t>
  </si>
  <si>
    <t>Réf :</t>
  </si>
  <si>
    <t>IE :</t>
  </si>
  <si>
    <t>Date :</t>
  </si>
  <si>
    <t>Page :</t>
  </si>
  <si>
    <t>Tréf</t>
  </si>
  <si>
    <t>Tlue</t>
  </si>
  <si>
    <t>correction</t>
  </si>
  <si>
    <t>Uwréf</t>
  </si>
  <si>
    <t>Uwlue</t>
  </si>
  <si>
    <t>correction()</t>
  </si>
  <si>
    <t>Désignation  :</t>
  </si>
  <si>
    <t>Thermohygrométre</t>
  </si>
  <si>
    <t>Marque   :</t>
  </si>
  <si>
    <t>LUTRON</t>
  </si>
  <si>
    <t>N° de série   :</t>
  </si>
  <si>
    <t>AH95641</t>
  </si>
  <si>
    <t>Modèle   :</t>
  </si>
  <si>
    <t>HT-306</t>
  </si>
  <si>
    <t>T.Lu.11</t>
  </si>
  <si>
    <t>Date d’étalonnage   :</t>
  </si>
  <si>
    <t>Velleman</t>
  </si>
  <si>
    <t>DEM105</t>
  </si>
  <si>
    <t>T.Ve-16</t>
  </si>
  <si>
    <t>AMPROBE</t>
  </si>
  <si>
    <t>TR300</t>
  </si>
  <si>
    <t>T.Am.13</t>
  </si>
  <si>
    <t>TR200-A</t>
  </si>
  <si>
    <t>T.Am.12</t>
  </si>
  <si>
    <t>T.Am.15</t>
  </si>
  <si>
    <t>T.Am.14</t>
  </si>
  <si>
    <t>Identification :</t>
  </si>
  <si>
    <r>
      <t xml:space="preserve">UT à </t>
    </r>
    <r>
      <rPr>
        <b/>
        <sz val="11"/>
        <color theme="1"/>
        <rFont val="Calibri"/>
        <family val="2"/>
      </rPr>
      <t>±2.σ</t>
    </r>
  </si>
  <si>
    <r>
      <t>Uuw</t>
    </r>
    <r>
      <rPr>
        <b/>
        <sz val="11"/>
        <color theme="1"/>
        <rFont val="Calibri"/>
        <family val="2"/>
      </rPr>
      <t>±2.σ</t>
    </r>
  </si>
  <si>
    <t>Résultats d'étalonnage :</t>
  </si>
  <si>
    <t>1</t>
  </si>
  <si>
    <t>Fop-133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</si>
</sst>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4" fillId="0" borderId="0"/>
    <xf numFmtId="0" fontId="4" fillId="0" borderId="0"/>
  </cellStyleXfs>
  <cellXfs count="49">
    <xf numFmtId="0" fontId="0" fillId="0" borderId="0" xfId="0"/>
    <xf numFmtId="0" fontId="0" fillId="2" borderId="0" xfId="0" applyFill="1" applyBorder="1"/>
    <xf numFmtId="2" fontId="0" fillId="0" borderId="0" xfId="0" applyNumberFormat="1"/>
    <xf numFmtId="0" fontId="2" fillId="0" borderId="1" xfId="1" applyFont="1" applyBorder="1" applyAlignment="1">
      <alignment horizontal="left" vertical="center" wrapText="1"/>
    </xf>
    <xf numFmtId="14" fontId="2" fillId="0" borderId="1" xfId="1" applyNumberFormat="1" applyFont="1" applyBorder="1" applyAlignment="1">
      <alignment horizontal="left" vertical="center" wrapText="1"/>
    </xf>
    <xf numFmtId="49" fontId="6" fillId="0" borderId="1" xfId="1" applyNumberFormat="1" applyFont="1" applyBorder="1" applyAlignment="1">
      <alignment horizontal="left" vertical="center" wrapText="1"/>
    </xf>
    <xf numFmtId="0" fontId="3" fillId="4" borderId="0" xfId="2" applyFont="1" applyFill="1"/>
    <xf numFmtId="0" fontId="7" fillId="4" borderId="0" xfId="2" applyFont="1" applyFill="1"/>
    <xf numFmtId="0" fontId="7" fillId="4" borderId="0" xfId="2" applyFont="1" applyFill="1" applyAlignment="1">
      <alignment horizontal="left" vertical="center"/>
    </xf>
    <xf numFmtId="0" fontId="8" fillId="4" borderId="0" xfId="2" applyFont="1" applyFill="1" applyAlignment="1">
      <alignment horizontal="left" vertical="center"/>
    </xf>
    <xf numFmtId="0" fontId="3" fillId="4" borderId="0" xfId="2" applyFont="1" applyFill="1" applyAlignment="1">
      <alignment horizontal="left" vertical="center"/>
    </xf>
    <xf numFmtId="0" fontId="7" fillId="4" borderId="0" xfId="2" applyFont="1" applyFill="1" applyAlignment="1">
      <alignment horizontal="left"/>
    </xf>
    <xf numFmtId="0" fontId="9" fillId="4" borderId="0" xfId="2" applyFont="1" applyFill="1" applyAlignment="1">
      <alignment vertical="center"/>
    </xf>
    <xf numFmtId="0" fontId="7" fillId="4" borderId="0" xfId="2" applyFont="1" applyFill="1" applyAlignment="1">
      <alignment horizontal="left" vertical="center"/>
    </xf>
    <xf numFmtId="0" fontId="7" fillId="4" borderId="0" xfId="2" applyFont="1" applyFill="1" applyAlignment="1">
      <alignment horizontal="left" vertical="center"/>
    </xf>
    <xf numFmtId="0" fontId="9" fillId="4" borderId="0" xfId="3" applyFont="1" applyFill="1" applyAlignment="1"/>
    <xf numFmtId="14" fontId="7" fillId="4" borderId="0" xfId="2" applyNumberFormat="1" applyFont="1" applyFill="1" applyAlignment="1">
      <alignment vertical="center"/>
    </xf>
    <xf numFmtId="0" fontId="1" fillId="2" borderId="1" xfId="0" applyFont="1" applyFill="1" applyBorder="1" applyAlignment="1" applyProtection="1">
      <alignment horizontal="left" vertical="center"/>
      <protection locked="0"/>
    </xf>
    <xf numFmtId="2" fontId="1" fillId="3" borderId="1" xfId="0" applyNumberFormat="1" applyFont="1" applyFill="1" applyBorder="1" applyAlignment="1" applyProtection="1">
      <alignment horizontal="left" vertical="center"/>
      <protection locked="0"/>
    </xf>
    <xf numFmtId="0" fontId="10" fillId="7" borderId="1" xfId="0" applyFont="1" applyFill="1" applyBorder="1" applyAlignment="1">
      <alignment horizontal="left"/>
    </xf>
    <xf numFmtId="164" fontId="10" fillId="7" borderId="1" xfId="0" applyNumberFormat="1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wrapText="1"/>
    </xf>
    <xf numFmtId="2" fontId="0" fillId="3" borderId="1" xfId="0" applyNumberFormat="1" applyFill="1" applyBorder="1" applyAlignment="1">
      <alignment horizontal="center"/>
    </xf>
    <xf numFmtId="14" fontId="7" fillId="4" borderId="0" xfId="2" applyNumberFormat="1" applyFont="1" applyFill="1" applyAlignment="1">
      <alignment horizontal="left" vertical="center"/>
    </xf>
    <xf numFmtId="0" fontId="1" fillId="8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5" borderId="8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1" fillId="5" borderId="6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left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7" fillId="4" borderId="0" xfId="2" applyFont="1" applyFill="1" applyAlignment="1">
      <alignment horizontal="left"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186690</xdr:colOff>
      <xdr:row>0</xdr:row>
      <xdr:rowOff>68580</xdr:rowOff>
    </xdr:from>
    <xdr:to>
      <xdr:col>1</xdr:col>
      <xdr:colOff>617220</xdr:colOff>
      <xdr:row>3</xdr:row>
      <xdr:rowOff>144780</xdr:rowOff>
    </xdr:to>
    <xdr:pic>
      <xdr:nvPicPr>
        <xdr:cNvPr id="2" name="Image 1"/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186690" y="68580"/>
          <a:ext cx="139255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125730</xdr:colOff>
      <xdr:row>0</xdr:row>
      <xdr:rowOff>38100</xdr:rowOff>
    </xdr:from>
    <xdr:to>
      <xdr:col>1</xdr:col>
      <xdr:colOff>754380</xdr:colOff>
      <xdr:row>3</xdr:row>
      <xdr:rowOff>114300</xdr:rowOff>
    </xdr:to>
    <xdr:pic>
      <xdr:nvPicPr>
        <xdr:cNvPr id="2" name="Image 1"/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125730" y="38100"/>
          <a:ext cx="1421130" cy="624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125730</xdr:colOff>
      <xdr:row>0</xdr:row>
      <xdr:rowOff>38100</xdr:rowOff>
    </xdr:from>
    <xdr:to>
      <xdr:col>1</xdr:col>
      <xdr:colOff>754380</xdr:colOff>
      <xdr:row>3</xdr:row>
      <xdr:rowOff>114300</xdr:rowOff>
    </xdr:to>
    <xdr:pic>
      <xdr:nvPicPr>
        <xdr:cNvPr id="2" name="Image 1"/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125730" y="38100"/>
          <a:ext cx="1421130" cy="624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186690</xdr:colOff>
      <xdr:row>0</xdr:row>
      <xdr:rowOff>68580</xdr:rowOff>
    </xdr:from>
    <xdr:to>
      <xdr:col>1</xdr:col>
      <xdr:colOff>617220</xdr:colOff>
      <xdr:row>3</xdr:row>
      <xdr:rowOff>144780</xdr:rowOff>
    </xdr:to>
    <xdr:pic>
      <xdr:nvPicPr>
        <xdr:cNvPr id="3" name="Image 2"/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186690" y="68580"/>
          <a:ext cx="139255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186690</xdr:colOff>
      <xdr:row>0</xdr:row>
      <xdr:rowOff>68580</xdr:rowOff>
    </xdr:from>
    <xdr:to>
      <xdr:col>1</xdr:col>
      <xdr:colOff>617220</xdr:colOff>
      <xdr:row>3</xdr:row>
      <xdr:rowOff>144780</xdr:rowOff>
    </xdr:to>
    <xdr:pic>
      <xdr:nvPicPr>
        <xdr:cNvPr id="2" name="Image 1"/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186690" y="68580"/>
          <a:ext cx="119253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186690</xdr:colOff>
      <xdr:row>0</xdr:row>
      <xdr:rowOff>68580</xdr:rowOff>
    </xdr:from>
    <xdr:to>
      <xdr:col>1</xdr:col>
      <xdr:colOff>617220</xdr:colOff>
      <xdr:row>3</xdr:row>
      <xdr:rowOff>144780</xdr:rowOff>
    </xdr:to>
    <xdr:pic>
      <xdr:nvPicPr>
        <xdr:cNvPr id="2" name="Image 1"/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186690" y="68580"/>
          <a:ext cx="119253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showGridLines="0" topLeftCell="C1" workbookViewId="0">
      <selection activeCell="I7" sqref="I7"/>
    </sheetView>
  </sheetViews>
  <sheetFormatPr baseColWidth="10" defaultRowHeight="15" x14ac:dyDescent="0.25"/>
  <cols>
    <col min="1" max="1" width="14.42578125" customWidth="1"/>
    <col min="4" max="4" width="20.28515625" customWidth="1"/>
    <col min="5" max="5" width="13.85546875" customWidth="1"/>
  </cols>
  <sheetData>
    <row r="1" spans="1:9" x14ac:dyDescent="0.25">
      <c r="A1" s="44"/>
      <c r="B1" s="44"/>
      <c r="C1" s="45" t="s">
        <v>11</v>
      </c>
      <c r="D1" s="45"/>
      <c r="E1" s="45"/>
      <c r="F1" s="45"/>
      <c r="G1" s="45"/>
      <c r="H1" s="3" t="s">
        <v>12</v>
      </c>
      <c r="I1" s="3" t="s">
        <v>47</v>
      </c>
    </row>
    <row r="2" spans="1:9" x14ac:dyDescent="0.25">
      <c r="A2" s="44"/>
      <c r="B2" s="44"/>
      <c r="C2" s="45"/>
      <c r="D2" s="45"/>
      <c r="E2" s="45"/>
      <c r="F2" s="45"/>
      <c r="G2" s="45"/>
      <c r="H2" s="3" t="s">
        <v>13</v>
      </c>
      <c r="I2" s="3">
        <v>1</v>
      </c>
    </row>
    <row r="3" spans="1:9" x14ac:dyDescent="0.25">
      <c r="A3" s="44"/>
      <c r="B3" s="44"/>
      <c r="C3" s="45" t="s">
        <v>0</v>
      </c>
      <c r="D3" s="45"/>
      <c r="E3" s="45"/>
      <c r="F3" s="45"/>
      <c r="G3" s="45"/>
      <c r="H3" s="3" t="s">
        <v>14</v>
      </c>
      <c r="I3" s="4">
        <v>45638</v>
      </c>
    </row>
    <row r="4" spans="1:9" ht="15.75" x14ac:dyDescent="0.25">
      <c r="A4" s="44"/>
      <c r="B4" s="44"/>
      <c r="C4" s="45"/>
      <c r="D4" s="45"/>
      <c r="E4" s="45"/>
      <c r="F4" s="45"/>
      <c r="G4" s="45"/>
      <c r="H4" s="3" t="s">
        <v>15</v>
      </c>
      <c r="I4" s="5" t="s">
        <v>46</v>
      </c>
    </row>
    <row r="6" spans="1:9" ht="15.75" x14ac:dyDescent="0.25">
      <c r="A6" s="9" t="s">
        <v>22</v>
      </c>
      <c r="B6" s="8" t="s">
        <v>23</v>
      </c>
      <c r="D6" s="9" t="s">
        <v>26</v>
      </c>
      <c r="E6" s="8">
        <v>20120027</v>
      </c>
    </row>
    <row r="7" spans="1:9" ht="15.75" x14ac:dyDescent="0.25">
      <c r="A7" s="9" t="s">
        <v>24</v>
      </c>
      <c r="B7" s="8" t="s">
        <v>35</v>
      </c>
      <c r="D7" s="12" t="s">
        <v>42</v>
      </c>
      <c r="E7" s="8" t="s">
        <v>37</v>
      </c>
      <c r="F7" s="7"/>
      <c r="G7" s="7"/>
    </row>
    <row r="8" spans="1:9" ht="15.75" x14ac:dyDescent="0.25">
      <c r="A8" s="9" t="s">
        <v>28</v>
      </c>
      <c r="B8" s="8" t="s">
        <v>36</v>
      </c>
      <c r="D8" s="15" t="s">
        <v>31</v>
      </c>
      <c r="E8" s="23">
        <v>45586</v>
      </c>
      <c r="G8" s="6"/>
    </row>
    <row r="9" spans="1:9" ht="15.75" x14ac:dyDescent="0.25">
      <c r="B9" s="10"/>
      <c r="C9" s="6"/>
      <c r="D9" s="7"/>
      <c r="E9" s="8"/>
      <c r="F9" s="11"/>
      <c r="G9" s="7"/>
    </row>
    <row r="10" spans="1:9" ht="15.75" x14ac:dyDescent="0.25">
      <c r="A10" s="43" t="s">
        <v>45</v>
      </c>
      <c r="B10" s="43"/>
      <c r="C10" s="43"/>
      <c r="D10" s="43"/>
      <c r="E10" s="43"/>
      <c r="F10" s="43"/>
    </row>
    <row r="11" spans="1:9" ht="15.75" thickBot="1" x14ac:dyDescent="0.3"/>
    <row r="12" spans="1:9" x14ac:dyDescent="0.25">
      <c r="A12" s="39" t="s">
        <v>16</v>
      </c>
      <c r="B12" s="41" t="s">
        <v>17</v>
      </c>
      <c r="C12" s="41" t="s">
        <v>18</v>
      </c>
      <c r="D12" s="41" t="s">
        <v>43</v>
      </c>
      <c r="E12" s="41" t="s">
        <v>19</v>
      </c>
      <c r="F12" s="41" t="s">
        <v>20</v>
      </c>
      <c r="G12" s="41" t="s">
        <v>21</v>
      </c>
      <c r="H12" s="36" t="s">
        <v>44</v>
      </c>
    </row>
    <row r="13" spans="1:9" x14ac:dyDescent="0.25">
      <c r="A13" s="40"/>
      <c r="B13" s="42"/>
      <c r="C13" s="42"/>
      <c r="D13" s="42"/>
      <c r="E13" s="42"/>
      <c r="F13" s="42"/>
      <c r="G13" s="42"/>
      <c r="H13" s="37"/>
    </row>
    <row r="14" spans="1:9" x14ac:dyDescent="0.25">
      <c r="A14" s="27">
        <v>29.92</v>
      </c>
      <c r="B14" s="29">
        <v>30.2</v>
      </c>
      <c r="C14" s="29">
        <v>-0.3</v>
      </c>
      <c r="D14" s="31">
        <v>0.35</v>
      </c>
      <c r="E14" s="33">
        <v>29.59</v>
      </c>
      <c r="F14" s="29">
        <v>29.7</v>
      </c>
      <c r="G14" s="29">
        <v>-0.1</v>
      </c>
      <c r="H14" s="25">
        <v>1.1000000000000001</v>
      </c>
    </row>
    <row r="15" spans="1:9" x14ac:dyDescent="0.25">
      <c r="A15" s="27"/>
      <c r="B15" s="29"/>
      <c r="C15" s="29"/>
      <c r="D15" s="31"/>
      <c r="E15" s="33"/>
      <c r="F15" s="29"/>
      <c r="G15" s="29"/>
      <c r="H15" s="25"/>
    </row>
    <row r="16" spans="1:9" x14ac:dyDescent="0.25">
      <c r="A16" s="27">
        <v>22.82</v>
      </c>
      <c r="B16" s="29">
        <v>23.1</v>
      </c>
      <c r="C16" s="29">
        <v>-0.3</v>
      </c>
      <c r="D16" s="31">
        <v>0.35</v>
      </c>
      <c r="E16" s="33">
        <v>50.83</v>
      </c>
      <c r="F16" s="29">
        <v>49.4</v>
      </c>
      <c r="G16" s="29">
        <v>1.4</v>
      </c>
      <c r="H16" s="25">
        <v>1.6</v>
      </c>
    </row>
    <row r="17" spans="1:10" x14ac:dyDescent="0.25">
      <c r="A17" s="27"/>
      <c r="B17" s="29"/>
      <c r="C17" s="29"/>
      <c r="D17" s="31"/>
      <c r="E17" s="33"/>
      <c r="F17" s="29"/>
      <c r="G17" s="29"/>
      <c r="H17" s="25"/>
    </row>
    <row r="18" spans="1:10" x14ac:dyDescent="0.25">
      <c r="A18" s="27">
        <v>14.73</v>
      </c>
      <c r="B18" s="29">
        <v>15.1</v>
      </c>
      <c r="C18" s="29">
        <v>-0.4</v>
      </c>
      <c r="D18" s="31">
        <v>0.35</v>
      </c>
      <c r="E18" s="33">
        <v>81.17</v>
      </c>
      <c r="F18" s="29">
        <v>78.099999999999994</v>
      </c>
      <c r="G18" s="29">
        <v>3.1</v>
      </c>
      <c r="H18" s="25">
        <v>2.1</v>
      </c>
    </row>
    <row r="19" spans="1:10" ht="15.75" thickBot="1" x14ac:dyDescent="0.3">
      <c r="A19" s="28"/>
      <c r="B19" s="30"/>
      <c r="C19" s="30"/>
      <c r="D19" s="32"/>
      <c r="E19" s="34"/>
      <c r="F19" s="30"/>
      <c r="G19" s="30"/>
      <c r="H19" s="35"/>
    </row>
    <row r="22" spans="1:10" x14ac:dyDescent="0.25">
      <c r="A22" s="38" t="s">
        <v>9</v>
      </c>
      <c r="B22" s="38"/>
      <c r="F22" s="26" t="s">
        <v>10</v>
      </c>
      <c r="G22" s="26"/>
    </row>
    <row r="23" spans="1:10" x14ac:dyDescent="0.25">
      <c r="A23" s="24" t="s">
        <v>0</v>
      </c>
      <c r="B23" s="24"/>
      <c r="C23" s="24"/>
      <c r="D23" s="24"/>
      <c r="F23" s="24" t="s">
        <v>0</v>
      </c>
      <c r="G23" s="24"/>
      <c r="H23" s="24"/>
      <c r="I23" s="24"/>
    </row>
    <row r="24" spans="1:10" x14ac:dyDescent="0.25">
      <c r="A24" s="19" t="s">
        <v>1</v>
      </c>
      <c r="B24" s="17"/>
      <c r="C24" s="20" t="s">
        <v>2</v>
      </c>
      <c r="D24" s="17"/>
      <c r="F24" s="19" t="s">
        <v>1</v>
      </c>
      <c r="G24" s="17"/>
      <c r="H24" s="20" t="s">
        <v>2</v>
      </c>
      <c r="I24" s="17"/>
      <c r="J24" s="2"/>
    </row>
    <row r="25" spans="1:10" x14ac:dyDescent="0.25">
      <c r="A25" s="19" t="s">
        <v>3</v>
      </c>
      <c r="B25" s="17"/>
      <c r="C25" s="21" t="s">
        <v>4</v>
      </c>
      <c r="D25" s="17"/>
      <c r="F25" s="19" t="s">
        <v>3</v>
      </c>
      <c r="G25" s="17"/>
      <c r="H25" s="21" t="s">
        <v>4</v>
      </c>
      <c r="I25" s="17"/>
    </row>
    <row r="26" spans="1:10" x14ac:dyDescent="0.25">
      <c r="A26" s="19" t="s">
        <v>5</v>
      </c>
      <c r="B26" s="17"/>
      <c r="C26" s="21" t="s">
        <v>6</v>
      </c>
      <c r="D26" s="18" t="e">
        <f>((B26-B24)*(D25-D24)/(B25-B24))+D24</f>
        <v>#DIV/0!</v>
      </c>
      <c r="F26" s="19" t="s">
        <v>5</v>
      </c>
      <c r="G26" s="17"/>
      <c r="H26" s="21" t="s">
        <v>6</v>
      </c>
      <c r="I26" s="18" t="e">
        <f>((G26-G24)*(I25-I24)/(G25-G24))+I24</f>
        <v>#DIV/0!</v>
      </c>
    </row>
    <row r="27" spans="1:10" x14ac:dyDescent="0.25">
      <c r="A27" s="1"/>
    </row>
    <row r="28" spans="1:10" x14ac:dyDescent="0.25">
      <c r="A28" s="24" t="s">
        <v>7</v>
      </c>
      <c r="B28" s="24"/>
      <c r="C28" s="22" t="e">
        <f>B26+D26</f>
        <v>#DIV/0!</v>
      </c>
      <c r="F28" s="24" t="s">
        <v>8</v>
      </c>
      <c r="G28" s="24"/>
      <c r="H28" s="22" t="e">
        <f>G26+I26</f>
        <v>#DIV/0!</v>
      </c>
    </row>
  </sheetData>
  <mergeCells count="42">
    <mergeCell ref="A10:F10"/>
    <mergeCell ref="A1:B4"/>
    <mergeCell ref="C1:G2"/>
    <mergeCell ref="C3:G4"/>
    <mergeCell ref="F12:F13"/>
    <mergeCell ref="G12:G13"/>
    <mergeCell ref="H12:H13"/>
    <mergeCell ref="A23:D23"/>
    <mergeCell ref="A28:B28"/>
    <mergeCell ref="A22:B22"/>
    <mergeCell ref="A12:A13"/>
    <mergeCell ref="B12:B13"/>
    <mergeCell ref="C12:C13"/>
    <mergeCell ref="D12:D13"/>
    <mergeCell ref="E12:E13"/>
    <mergeCell ref="F14:F15"/>
    <mergeCell ref="G14:G15"/>
    <mergeCell ref="H14:H15"/>
    <mergeCell ref="A16:A17"/>
    <mergeCell ref="B16:B17"/>
    <mergeCell ref="C16:C17"/>
    <mergeCell ref="D16:D17"/>
    <mergeCell ref="A14:A15"/>
    <mergeCell ref="B14:B15"/>
    <mergeCell ref="C14:C15"/>
    <mergeCell ref="D14:D15"/>
    <mergeCell ref="E14:E15"/>
    <mergeCell ref="F23:I23"/>
    <mergeCell ref="F28:G28"/>
    <mergeCell ref="H16:H17"/>
    <mergeCell ref="F22:G22"/>
    <mergeCell ref="A18:A19"/>
    <mergeCell ref="B18:B19"/>
    <mergeCell ref="C18:C19"/>
    <mergeCell ref="D18:D19"/>
    <mergeCell ref="E18:E19"/>
    <mergeCell ref="F18:F19"/>
    <mergeCell ref="G18:G19"/>
    <mergeCell ref="H18:H19"/>
    <mergeCell ref="E16:E17"/>
    <mergeCell ref="F16:F17"/>
    <mergeCell ref="G16:G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showGridLines="0" topLeftCell="B1" workbookViewId="0">
      <selection activeCell="H9" sqref="H9"/>
    </sheetView>
  </sheetViews>
  <sheetFormatPr baseColWidth="10" defaultRowHeight="15" x14ac:dyDescent="0.25"/>
  <cols>
    <col min="7" max="7" width="13.28515625" customWidth="1"/>
  </cols>
  <sheetData>
    <row r="1" spans="1:9" x14ac:dyDescent="0.25">
      <c r="A1" s="44"/>
      <c r="B1" s="44"/>
      <c r="C1" s="45" t="s">
        <v>11</v>
      </c>
      <c r="D1" s="45"/>
      <c r="E1" s="45"/>
      <c r="F1" s="45"/>
      <c r="G1" s="45"/>
      <c r="H1" s="3" t="s">
        <v>12</v>
      </c>
      <c r="I1" s="3" t="s">
        <v>47</v>
      </c>
    </row>
    <row r="2" spans="1:9" x14ac:dyDescent="0.25">
      <c r="A2" s="44"/>
      <c r="B2" s="44"/>
      <c r="C2" s="45"/>
      <c r="D2" s="45"/>
      <c r="E2" s="45"/>
      <c r="F2" s="45"/>
      <c r="G2" s="45"/>
      <c r="H2" s="3" t="s">
        <v>13</v>
      </c>
      <c r="I2" s="3">
        <v>1</v>
      </c>
    </row>
    <row r="3" spans="1:9" x14ac:dyDescent="0.25">
      <c r="A3" s="44"/>
      <c r="B3" s="44"/>
      <c r="C3" s="45" t="s">
        <v>0</v>
      </c>
      <c r="D3" s="45"/>
      <c r="E3" s="45"/>
      <c r="F3" s="45"/>
      <c r="G3" s="45"/>
      <c r="H3" s="3" t="s">
        <v>14</v>
      </c>
      <c r="I3" s="4">
        <v>45638</v>
      </c>
    </row>
    <row r="4" spans="1:9" ht="15.75" x14ac:dyDescent="0.25">
      <c r="A4" s="44"/>
      <c r="B4" s="44"/>
      <c r="C4" s="45"/>
      <c r="D4" s="45"/>
      <c r="E4" s="45"/>
      <c r="F4" s="45"/>
      <c r="G4" s="45"/>
      <c r="H4" s="3" t="s">
        <v>15</v>
      </c>
      <c r="I4" s="5" t="s">
        <v>46</v>
      </c>
    </row>
    <row r="6" spans="1:9" ht="15.75" x14ac:dyDescent="0.25">
      <c r="A6" s="9" t="s">
        <v>22</v>
      </c>
      <c r="B6" s="13" t="s">
        <v>23</v>
      </c>
      <c r="D6" s="9" t="s">
        <v>26</v>
      </c>
      <c r="E6" s="13">
        <v>20120032</v>
      </c>
    </row>
    <row r="7" spans="1:9" ht="15.75" x14ac:dyDescent="0.25">
      <c r="A7" s="9" t="s">
        <v>24</v>
      </c>
      <c r="B7" s="13" t="s">
        <v>35</v>
      </c>
      <c r="D7" s="12" t="s">
        <v>42</v>
      </c>
      <c r="E7" s="13" t="s">
        <v>41</v>
      </c>
      <c r="F7" s="7"/>
      <c r="G7" s="7"/>
    </row>
    <row r="8" spans="1:9" ht="15.75" x14ac:dyDescent="0.25">
      <c r="A8" s="9" t="s">
        <v>28</v>
      </c>
      <c r="B8" s="13" t="s">
        <v>36</v>
      </c>
      <c r="D8" s="15" t="s">
        <v>31</v>
      </c>
      <c r="G8" s="16">
        <v>45586</v>
      </c>
    </row>
    <row r="9" spans="1:9" ht="15.75" x14ac:dyDescent="0.25">
      <c r="B9" s="10"/>
      <c r="C9" s="6"/>
      <c r="D9" s="7"/>
      <c r="E9" s="13"/>
      <c r="F9" s="11"/>
      <c r="G9" s="7"/>
    </row>
    <row r="10" spans="1:9" ht="15.75" x14ac:dyDescent="0.25">
      <c r="A10" s="43" t="s">
        <v>45</v>
      </c>
      <c r="B10" s="43"/>
      <c r="C10" s="43"/>
      <c r="D10" s="43"/>
      <c r="E10" s="43"/>
      <c r="F10" s="43"/>
    </row>
    <row r="11" spans="1:9" ht="15.75" thickBot="1" x14ac:dyDescent="0.3"/>
    <row r="12" spans="1:9" x14ac:dyDescent="0.25">
      <c r="A12" s="39" t="s">
        <v>16</v>
      </c>
      <c r="B12" s="41" t="s">
        <v>17</v>
      </c>
      <c r="C12" s="41" t="s">
        <v>18</v>
      </c>
      <c r="D12" s="41" t="s">
        <v>43</v>
      </c>
      <c r="E12" s="41" t="s">
        <v>19</v>
      </c>
      <c r="F12" s="41" t="s">
        <v>20</v>
      </c>
      <c r="G12" s="41" t="s">
        <v>21</v>
      </c>
      <c r="H12" s="36" t="s">
        <v>44</v>
      </c>
    </row>
    <row r="13" spans="1:9" x14ac:dyDescent="0.25">
      <c r="A13" s="40"/>
      <c r="B13" s="42"/>
      <c r="C13" s="42"/>
      <c r="D13" s="42"/>
      <c r="E13" s="42"/>
      <c r="F13" s="42"/>
      <c r="G13" s="42"/>
      <c r="H13" s="37"/>
    </row>
    <row r="14" spans="1:9" x14ac:dyDescent="0.25">
      <c r="A14" s="27">
        <v>29.92</v>
      </c>
      <c r="B14" s="29">
        <v>30.1</v>
      </c>
      <c r="C14" s="29">
        <v>-0.2</v>
      </c>
      <c r="D14" s="31">
        <v>0.35</v>
      </c>
      <c r="E14" s="33">
        <v>29.59</v>
      </c>
      <c r="F14" s="29">
        <v>29.8</v>
      </c>
      <c r="G14" s="29">
        <v>-0.2</v>
      </c>
      <c r="H14" s="25">
        <v>1.1000000000000001</v>
      </c>
    </row>
    <row r="15" spans="1:9" x14ac:dyDescent="0.25">
      <c r="A15" s="27"/>
      <c r="B15" s="29"/>
      <c r="C15" s="29"/>
      <c r="D15" s="31"/>
      <c r="E15" s="33"/>
      <c r="F15" s="29"/>
      <c r="G15" s="29"/>
      <c r="H15" s="25"/>
    </row>
    <row r="16" spans="1:9" x14ac:dyDescent="0.25">
      <c r="A16" s="27">
        <v>22.82</v>
      </c>
      <c r="B16" s="29">
        <v>23.1</v>
      </c>
      <c r="C16" s="29">
        <v>-0.3</v>
      </c>
      <c r="D16" s="31">
        <v>0.35</v>
      </c>
      <c r="E16" s="33">
        <v>50.83</v>
      </c>
      <c r="F16" s="29">
        <v>52.1</v>
      </c>
      <c r="G16" s="29">
        <v>-1.3</v>
      </c>
      <c r="H16" s="25">
        <v>1.6</v>
      </c>
    </row>
    <row r="17" spans="1:9" x14ac:dyDescent="0.25">
      <c r="A17" s="27"/>
      <c r="B17" s="29"/>
      <c r="C17" s="29"/>
      <c r="D17" s="31"/>
      <c r="E17" s="33"/>
      <c r="F17" s="29"/>
      <c r="G17" s="29"/>
      <c r="H17" s="25"/>
    </row>
    <row r="18" spans="1:9" x14ac:dyDescent="0.25">
      <c r="A18" s="27">
        <v>14.73</v>
      </c>
      <c r="B18" s="29">
        <v>15</v>
      </c>
      <c r="C18" s="29">
        <v>-0.3</v>
      </c>
      <c r="D18" s="31">
        <v>0.35</v>
      </c>
      <c r="E18" s="33">
        <v>81.17</v>
      </c>
      <c r="F18" s="29">
        <v>81.900000000000006</v>
      </c>
      <c r="G18" s="29">
        <v>-0.7</v>
      </c>
      <c r="H18" s="25">
        <v>2.1</v>
      </c>
    </row>
    <row r="19" spans="1:9" ht="15.75" thickBot="1" x14ac:dyDescent="0.3">
      <c r="A19" s="28"/>
      <c r="B19" s="30"/>
      <c r="C19" s="30"/>
      <c r="D19" s="32"/>
      <c r="E19" s="34"/>
      <c r="F19" s="30"/>
      <c r="G19" s="30"/>
      <c r="H19" s="35"/>
    </row>
    <row r="22" spans="1:9" x14ac:dyDescent="0.25">
      <c r="A22" s="38" t="s">
        <v>9</v>
      </c>
      <c r="B22" s="38"/>
      <c r="F22" s="26" t="s">
        <v>10</v>
      </c>
      <c r="G22" s="26"/>
    </row>
    <row r="23" spans="1:9" x14ac:dyDescent="0.25">
      <c r="A23" s="24" t="s">
        <v>0</v>
      </c>
      <c r="B23" s="24"/>
      <c r="C23" s="24"/>
      <c r="D23" s="24"/>
      <c r="F23" s="24" t="s">
        <v>0</v>
      </c>
      <c r="G23" s="24"/>
      <c r="H23" s="24"/>
      <c r="I23" s="24"/>
    </row>
    <row r="24" spans="1:9" x14ac:dyDescent="0.25">
      <c r="A24" s="19" t="s">
        <v>1</v>
      </c>
      <c r="B24" s="17"/>
      <c r="C24" s="20" t="s">
        <v>2</v>
      </c>
      <c r="D24" s="17"/>
      <c r="F24" s="19" t="s">
        <v>1</v>
      </c>
      <c r="G24" s="17"/>
      <c r="H24" s="20" t="s">
        <v>2</v>
      </c>
      <c r="I24" s="17"/>
    </row>
    <row r="25" spans="1:9" x14ac:dyDescent="0.25">
      <c r="A25" s="19" t="s">
        <v>3</v>
      </c>
      <c r="B25" s="17"/>
      <c r="C25" s="21" t="s">
        <v>4</v>
      </c>
      <c r="D25" s="17"/>
      <c r="F25" s="19" t="s">
        <v>3</v>
      </c>
      <c r="G25" s="17"/>
      <c r="H25" s="21" t="s">
        <v>4</v>
      </c>
      <c r="I25" s="17"/>
    </row>
    <row r="26" spans="1:9" x14ac:dyDescent="0.25">
      <c r="A26" s="19" t="s">
        <v>5</v>
      </c>
      <c r="B26" s="17"/>
      <c r="C26" s="21" t="s">
        <v>6</v>
      </c>
      <c r="D26" s="18" t="e">
        <f>((B26-B24)*(D25-D24)/(B25-B24))+D24</f>
        <v>#DIV/0!</v>
      </c>
      <c r="F26" s="19" t="s">
        <v>5</v>
      </c>
      <c r="G26" s="17"/>
      <c r="H26" s="21" t="s">
        <v>6</v>
      </c>
      <c r="I26" s="18" t="e">
        <f>((G26-G24)*(I25-I24)/(G25-G24))+I24</f>
        <v>#DIV/0!</v>
      </c>
    </row>
    <row r="27" spans="1:9" x14ac:dyDescent="0.25">
      <c r="A27" s="1"/>
    </row>
    <row r="28" spans="1:9" x14ac:dyDescent="0.25">
      <c r="A28" s="24" t="s">
        <v>7</v>
      </c>
      <c r="B28" s="24"/>
      <c r="C28" s="22" t="e">
        <f>B26+D26</f>
        <v>#DIV/0!</v>
      </c>
      <c r="F28" s="24" t="s">
        <v>8</v>
      </c>
      <c r="G28" s="24"/>
      <c r="H28" s="22" t="e">
        <f>G26+I26</f>
        <v>#DIV/0!</v>
      </c>
    </row>
  </sheetData>
  <mergeCells count="42">
    <mergeCell ref="A1:B4"/>
    <mergeCell ref="C1:G2"/>
    <mergeCell ref="C3:G4"/>
    <mergeCell ref="A10:F10"/>
    <mergeCell ref="A12:A13"/>
    <mergeCell ref="B12:B13"/>
    <mergeCell ref="C12:C13"/>
    <mergeCell ref="D12:D13"/>
    <mergeCell ref="E12:E13"/>
    <mergeCell ref="F12:F13"/>
    <mergeCell ref="G12:G13"/>
    <mergeCell ref="H12:H13"/>
    <mergeCell ref="A14:A15"/>
    <mergeCell ref="B14:B15"/>
    <mergeCell ref="C14:C15"/>
    <mergeCell ref="D14:D15"/>
    <mergeCell ref="E14:E15"/>
    <mergeCell ref="F14:F15"/>
    <mergeCell ref="G14:G15"/>
    <mergeCell ref="H14:H15"/>
    <mergeCell ref="G16:G17"/>
    <mergeCell ref="H16:H17"/>
    <mergeCell ref="A18:A19"/>
    <mergeCell ref="B18:B19"/>
    <mergeCell ref="C18:C19"/>
    <mergeCell ref="D18:D19"/>
    <mergeCell ref="E18:E19"/>
    <mergeCell ref="F18:F19"/>
    <mergeCell ref="G18:G19"/>
    <mergeCell ref="H18:H19"/>
    <mergeCell ref="A16:A17"/>
    <mergeCell ref="B16:B17"/>
    <mergeCell ref="C16:C17"/>
    <mergeCell ref="D16:D17"/>
    <mergeCell ref="E16:E17"/>
    <mergeCell ref="F16:F17"/>
    <mergeCell ref="A22:B22"/>
    <mergeCell ref="F22:G22"/>
    <mergeCell ref="A23:D23"/>
    <mergeCell ref="F23:I23"/>
    <mergeCell ref="A28:B28"/>
    <mergeCell ref="F28:G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showGridLines="0" topLeftCell="B1" workbookViewId="0">
      <selection activeCell="I4" sqref="I4"/>
    </sheetView>
  </sheetViews>
  <sheetFormatPr baseColWidth="10" defaultRowHeight="15" x14ac:dyDescent="0.25"/>
  <cols>
    <col min="7" max="7" width="13.85546875" customWidth="1"/>
  </cols>
  <sheetData>
    <row r="1" spans="1:9" x14ac:dyDescent="0.25">
      <c r="A1" s="44"/>
      <c r="B1" s="44"/>
      <c r="C1" s="45" t="s">
        <v>11</v>
      </c>
      <c r="D1" s="45"/>
      <c r="E1" s="45"/>
      <c r="F1" s="45"/>
      <c r="G1" s="45"/>
      <c r="H1" s="3" t="s">
        <v>12</v>
      </c>
      <c r="I1" s="3" t="s">
        <v>47</v>
      </c>
    </row>
    <row r="2" spans="1:9" x14ac:dyDescent="0.25">
      <c r="A2" s="44"/>
      <c r="B2" s="44"/>
      <c r="C2" s="45"/>
      <c r="D2" s="45"/>
      <c r="E2" s="45"/>
      <c r="F2" s="45"/>
      <c r="G2" s="45"/>
      <c r="H2" s="3" t="s">
        <v>13</v>
      </c>
      <c r="I2" s="3">
        <v>1</v>
      </c>
    </row>
    <row r="3" spans="1:9" x14ac:dyDescent="0.25">
      <c r="A3" s="44"/>
      <c r="B3" s="44"/>
      <c r="C3" s="45" t="s">
        <v>0</v>
      </c>
      <c r="D3" s="45"/>
      <c r="E3" s="45"/>
      <c r="F3" s="45"/>
      <c r="G3" s="45"/>
      <c r="H3" s="3" t="s">
        <v>14</v>
      </c>
      <c r="I3" s="4">
        <v>45638</v>
      </c>
    </row>
    <row r="4" spans="1:9" ht="15.75" x14ac:dyDescent="0.25">
      <c r="A4" s="44"/>
      <c r="B4" s="44"/>
      <c r="C4" s="45"/>
      <c r="D4" s="45"/>
      <c r="E4" s="45"/>
      <c r="F4" s="45"/>
      <c r="G4" s="45"/>
      <c r="H4" s="3" t="s">
        <v>15</v>
      </c>
      <c r="I4" s="5" t="s">
        <v>46</v>
      </c>
    </row>
    <row r="6" spans="1:9" ht="15.75" x14ac:dyDescent="0.25">
      <c r="A6" s="9" t="s">
        <v>22</v>
      </c>
      <c r="B6" s="13" t="s">
        <v>23</v>
      </c>
      <c r="D6" s="9" t="s">
        <v>26</v>
      </c>
      <c r="E6" s="13">
        <v>16010037</v>
      </c>
    </row>
    <row r="7" spans="1:9" ht="15.75" x14ac:dyDescent="0.25">
      <c r="A7" s="9" t="s">
        <v>24</v>
      </c>
      <c r="B7" s="13" t="s">
        <v>35</v>
      </c>
      <c r="D7" s="12" t="s">
        <v>42</v>
      </c>
      <c r="E7" s="13" t="s">
        <v>39</v>
      </c>
      <c r="F7" s="7"/>
      <c r="G7" s="7"/>
    </row>
    <row r="8" spans="1:9" ht="15.75" x14ac:dyDescent="0.25">
      <c r="A8" s="9" t="s">
        <v>28</v>
      </c>
      <c r="B8" s="13" t="s">
        <v>38</v>
      </c>
      <c r="D8" s="15" t="s">
        <v>31</v>
      </c>
      <c r="G8" s="16">
        <v>45587</v>
      </c>
    </row>
    <row r="9" spans="1:9" ht="15.75" x14ac:dyDescent="0.25">
      <c r="B9" s="10"/>
      <c r="C9" s="6"/>
      <c r="D9" s="7"/>
      <c r="E9" s="13"/>
      <c r="F9" s="11"/>
      <c r="G9" s="7"/>
    </row>
    <row r="10" spans="1:9" ht="15.75" x14ac:dyDescent="0.25">
      <c r="A10" s="43" t="s">
        <v>45</v>
      </c>
      <c r="B10" s="43"/>
      <c r="C10" s="43"/>
      <c r="D10" s="43"/>
      <c r="E10" s="43"/>
      <c r="F10" s="43"/>
    </row>
    <row r="11" spans="1:9" ht="15.75" thickBot="1" x14ac:dyDescent="0.3"/>
    <row r="12" spans="1:9" x14ac:dyDescent="0.25">
      <c r="A12" s="39" t="s">
        <v>16</v>
      </c>
      <c r="B12" s="41" t="s">
        <v>17</v>
      </c>
      <c r="C12" s="41" t="s">
        <v>18</v>
      </c>
      <c r="D12" s="41" t="s">
        <v>43</v>
      </c>
      <c r="E12" s="41" t="s">
        <v>19</v>
      </c>
      <c r="F12" s="41" t="s">
        <v>20</v>
      </c>
      <c r="G12" s="41" t="s">
        <v>21</v>
      </c>
      <c r="H12" s="36" t="s">
        <v>44</v>
      </c>
    </row>
    <row r="13" spans="1:9" x14ac:dyDescent="0.25">
      <c r="A13" s="40"/>
      <c r="B13" s="42"/>
      <c r="C13" s="42"/>
      <c r="D13" s="42"/>
      <c r="E13" s="42"/>
      <c r="F13" s="42"/>
      <c r="G13" s="42"/>
      <c r="H13" s="37"/>
    </row>
    <row r="14" spans="1:9" x14ac:dyDescent="0.25">
      <c r="A14" s="27">
        <v>39.729999999999997</v>
      </c>
      <c r="B14" s="29">
        <v>39.630000000000003</v>
      </c>
      <c r="C14" s="29">
        <v>0.1</v>
      </c>
      <c r="D14" s="31">
        <v>0.35</v>
      </c>
      <c r="E14" s="33">
        <v>25.93</v>
      </c>
      <c r="F14" s="29">
        <v>30.06</v>
      </c>
      <c r="G14" s="29">
        <v>-4.13</v>
      </c>
      <c r="H14" s="25">
        <v>1.6</v>
      </c>
    </row>
    <row r="15" spans="1:9" x14ac:dyDescent="0.25">
      <c r="A15" s="27"/>
      <c r="B15" s="29"/>
      <c r="C15" s="29"/>
      <c r="D15" s="31"/>
      <c r="E15" s="33"/>
      <c r="F15" s="29"/>
      <c r="G15" s="29"/>
      <c r="H15" s="25"/>
    </row>
    <row r="16" spans="1:9" x14ac:dyDescent="0.25">
      <c r="A16" s="27">
        <v>19.82</v>
      </c>
      <c r="B16" s="29">
        <v>19.920000000000002</v>
      </c>
      <c r="C16" s="29">
        <v>-0.1</v>
      </c>
      <c r="D16" s="31">
        <v>0.35</v>
      </c>
      <c r="E16" s="33">
        <v>50.81</v>
      </c>
      <c r="F16" s="29">
        <v>53.82</v>
      </c>
      <c r="G16" s="29">
        <v>-3.01</v>
      </c>
      <c r="H16" s="25">
        <v>1.6</v>
      </c>
    </row>
    <row r="17" spans="1:9" x14ac:dyDescent="0.25">
      <c r="A17" s="27"/>
      <c r="B17" s="29"/>
      <c r="C17" s="29"/>
      <c r="D17" s="31"/>
      <c r="E17" s="33"/>
      <c r="F17" s="29"/>
      <c r="G17" s="29"/>
      <c r="H17" s="25"/>
    </row>
    <row r="18" spans="1:9" x14ac:dyDescent="0.25">
      <c r="A18" s="27">
        <v>9.73</v>
      </c>
      <c r="B18" s="29">
        <v>9.9600000000000009</v>
      </c>
      <c r="C18" s="29">
        <v>-0.23</v>
      </c>
      <c r="D18" s="31">
        <v>0.35</v>
      </c>
      <c r="E18" s="33">
        <v>79.53</v>
      </c>
      <c r="F18" s="29">
        <v>78.8</v>
      </c>
      <c r="G18" s="29">
        <v>0.73</v>
      </c>
      <c r="H18" s="25">
        <v>1.8</v>
      </c>
    </row>
    <row r="19" spans="1:9" ht="15.75" thickBot="1" x14ac:dyDescent="0.3">
      <c r="A19" s="28"/>
      <c r="B19" s="30"/>
      <c r="C19" s="30"/>
      <c r="D19" s="32"/>
      <c r="E19" s="34"/>
      <c r="F19" s="30"/>
      <c r="G19" s="30"/>
      <c r="H19" s="35"/>
    </row>
    <row r="22" spans="1:9" x14ac:dyDescent="0.25">
      <c r="A22" s="38" t="s">
        <v>9</v>
      </c>
      <c r="B22" s="38"/>
      <c r="F22" s="26" t="s">
        <v>10</v>
      </c>
      <c r="G22" s="26"/>
    </row>
    <row r="23" spans="1:9" x14ac:dyDescent="0.25">
      <c r="A23" s="24" t="s">
        <v>0</v>
      </c>
      <c r="B23" s="24"/>
      <c r="C23" s="24"/>
      <c r="D23" s="24"/>
      <c r="F23" s="24" t="s">
        <v>0</v>
      </c>
      <c r="G23" s="24"/>
      <c r="H23" s="24"/>
      <c r="I23" s="24"/>
    </row>
    <row r="24" spans="1:9" x14ac:dyDescent="0.25">
      <c r="A24" s="19" t="s">
        <v>1</v>
      </c>
      <c r="B24" s="17"/>
      <c r="C24" s="20" t="s">
        <v>2</v>
      </c>
      <c r="D24" s="17"/>
      <c r="F24" s="19" t="s">
        <v>1</v>
      </c>
      <c r="G24" s="17"/>
      <c r="H24" s="20" t="s">
        <v>2</v>
      </c>
      <c r="I24" s="17"/>
    </row>
    <row r="25" spans="1:9" x14ac:dyDescent="0.25">
      <c r="A25" s="19" t="s">
        <v>3</v>
      </c>
      <c r="B25" s="17"/>
      <c r="C25" s="21" t="s">
        <v>4</v>
      </c>
      <c r="D25" s="17"/>
      <c r="F25" s="19" t="s">
        <v>3</v>
      </c>
      <c r="G25" s="17"/>
      <c r="H25" s="21" t="s">
        <v>4</v>
      </c>
      <c r="I25" s="17"/>
    </row>
    <row r="26" spans="1:9" x14ac:dyDescent="0.25">
      <c r="A26" s="19" t="s">
        <v>5</v>
      </c>
      <c r="B26" s="17"/>
      <c r="C26" s="21" t="s">
        <v>6</v>
      </c>
      <c r="D26" s="18" t="e">
        <f>((B26-B24)*(D25-D24)/(B25-B24))+D24</f>
        <v>#DIV/0!</v>
      </c>
      <c r="F26" s="19" t="s">
        <v>5</v>
      </c>
      <c r="G26" s="17"/>
      <c r="H26" s="21" t="s">
        <v>6</v>
      </c>
      <c r="I26" s="18" t="e">
        <f>((G26-G24)*(I25-I24)/(G25-G24))+I24</f>
        <v>#DIV/0!</v>
      </c>
    </row>
    <row r="27" spans="1:9" x14ac:dyDescent="0.25">
      <c r="A27" s="1"/>
    </row>
    <row r="28" spans="1:9" x14ac:dyDescent="0.25">
      <c r="A28" s="24" t="s">
        <v>7</v>
      </c>
      <c r="B28" s="24"/>
      <c r="C28" s="22" t="e">
        <f>B26+D26</f>
        <v>#DIV/0!</v>
      </c>
      <c r="F28" s="24" t="s">
        <v>8</v>
      </c>
      <c r="G28" s="24"/>
      <c r="H28" s="22" t="e">
        <f>G26+I26</f>
        <v>#DIV/0!</v>
      </c>
    </row>
  </sheetData>
  <mergeCells count="42">
    <mergeCell ref="A1:B4"/>
    <mergeCell ref="C1:G2"/>
    <mergeCell ref="C3:G4"/>
    <mergeCell ref="A10:F10"/>
    <mergeCell ref="A12:A13"/>
    <mergeCell ref="B12:B13"/>
    <mergeCell ref="C12:C13"/>
    <mergeCell ref="D12:D13"/>
    <mergeCell ref="E12:E13"/>
    <mergeCell ref="F12:F13"/>
    <mergeCell ref="G12:G13"/>
    <mergeCell ref="H12:H13"/>
    <mergeCell ref="A14:A15"/>
    <mergeCell ref="B14:B15"/>
    <mergeCell ref="C14:C15"/>
    <mergeCell ref="D14:D15"/>
    <mergeCell ref="E14:E15"/>
    <mergeCell ref="F14:F15"/>
    <mergeCell ref="G14:G15"/>
    <mergeCell ref="H14:H15"/>
    <mergeCell ref="G16:G17"/>
    <mergeCell ref="H16:H17"/>
    <mergeCell ref="A18:A19"/>
    <mergeCell ref="B18:B19"/>
    <mergeCell ref="C18:C19"/>
    <mergeCell ref="D18:D19"/>
    <mergeCell ref="E18:E19"/>
    <mergeCell ref="F18:F19"/>
    <mergeCell ref="G18:G19"/>
    <mergeCell ref="H18:H19"/>
    <mergeCell ref="A16:A17"/>
    <mergeCell ref="B16:B17"/>
    <mergeCell ref="C16:C17"/>
    <mergeCell ref="D16:D17"/>
    <mergeCell ref="E16:E17"/>
    <mergeCell ref="F16:F17"/>
    <mergeCell ref="A22:B22"/>
    <mergeCell ref="F22:G22"/>
    <mergeCell ref="A23:D23"/>
    <mergeCell ref="F23:I23"/>
    <mergeCell ref="A28:B28"/>
    <mergeCell ref="F28:G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showGridLines="0" topLeftCell="D1" workbookViewId="0">
      <selection activeCell="I6" sqref="I6"/>
    </sheetView>
  </sheetViews>
  <sheetFormatPr baseColWidth="10" defaultRowHeight="15" x14ac:dyDescent="0.25"/>
  <cols>
    <col min="5" max="5" width="13.7109375" customWidth="1"/>
    <col min="7" max="7" width="12.85546875" customWidth="1"/>
  </cols>
  <sheetData>
    <row r="1" spans="1:9" x14ac:dyDescent="0.25">
      <c r="A1" s="44"/>
      <c r="B1" s="44"/>
      <c r="C1" s="45" t="s">
        <v>11</v>
      </c>
      <c r="D1" s="45"/>
      <c r="E1" s="45"/>
      <c r="F1" s="45"/>
      <c r="G1" s="45"/>
      <c r="H1" s="3" t="s">
        <v>12</v>
      </c>
      <c r="I1" s="3" t="s">
        <v>47</v>
      </c>
    </row>
    <row r="2" spans="1:9" x14ac:dyDescent="0.25">
      <c r="A2" s="44"/>
      <c r="B2" s="44"/>
      <c r="C2" s="45"/>
      <c r="D2" s="45"/>
      <c r="E2" s="45"/>
      <c r="F2" s="45"/>
      <c r="G2" s="45"/>
      <c r="H2" s="3" t="s">
        <v>13</v>
      </c>
      <c r="I2" s="3">
        <v>1</v>
      </c>
    </row>
    <row r="3" spans="1:9" x14ac:dyDescent="0.25">
      <c r="A3" s="44"/>
      <c r="B3" s="44"/>
      <c r="C3" s="45" t="s">
        <v>0</v>
      </c>
      <c r="D3" s="45"/>
      <c r="E3" s="45"/>
      <c r="F3" s="45"/>
      <c r="G3" s="45"/>
      <c r="H3" s="3" t="s">
        <v>14</v>
      </c>
      <c r="I3" s="4">
        <v>45638</v>
      </c>
    </row>
    <row r="4" spans="1:9" ht="15.75" x14ac:dyDescent="0.25">
      <c r="A4" s="44"/>
      <c r="B4" s="44"/>
      <c r="C4" s="45"/>
      <c r="D4" s="45"/>
      <c r="E4" s="45"/>
      <c r="F4" s="45"/>
      <c r="G4" s="45"/>
      <c r="H4" s="3" t="s">
        <v>15</v>
      </c>
      <c r="I4" s="5" t="s">
        <v>46</v>
      </c>
    </row>
    <row r="6" spans="1:9" ht="15.75" x14ac:dyDescent="0.25">
      <c r="A6" s="9" t="s">
        <v>22</v>
      </c>
      <c r="B6" s="14" t="s">
        <v>23</v>
      </c>
      <c r="D6" s="9" t="s">
        <v>26</v>
      </c>
      <c r="E6" s="14" t="s">
        <v>27</v>
      </c>
    </row>
    <row r="7" spans="1:9" ht="15.75" x14ac:dyDescent="0.25">
      <c r="A7" s="9" t="s">
        <v>24</v>
      </c>
      <c r="B7" s="14" t="s">
        <v>25</v>
      </c>
      <c r="D7" s="12" t="s">
        <v>42</v>
      </c>
      <c r="E7" s="14" t="s">
        <v>30</v>
      </c>
      <c r="F7" s="7"/>
      <c r="G7" s="7"/>
    </row>
    <row r="8" spans="1:9" ht="15.75" x14ac:dyDescent="0.25">
      <c r="A8" s="9" t="s">
        <v>28</v>
      </c>
      <c r="B8" s="14" t="s">
        <v>29</v>
      </c>
      <c r="D8" s="15" t="s">
        <v>31</v>
      </c>
      <c r="E8" s="16">
        <v>45586</v>
      </c>
      <c r="G8" s="6"/>
    </row>
    <row r="9" spans="1:9" ht="15.75" x14ac:dyDescent="0.25">
      <c r="B9" s="10"/>
      <c r="C9" s="6"/>
      <c r="D9" s="7"/>
      <c r="E9" s="14"/>
      <c r="F9" s="11"/>
      <c r="G9" s="7"/>
    </row>
    <row r="10" spans="1:9" ht="15.75" x14ac:dyDescent="0.25">
      <c r="A10" s="43" t="s">
        <v>45</v>
      </c>
      <c r="B10" s="43"/>
      <c r="C10" s="43"/>
      <c r="D10" s="43"/>
      <c r="E10" s="43"/>
      <c r="F10" s="43"/>
    </row>
    <row r="11" spans="1:9" ht="15.75" thickBot="1" x14ac:dyDescent="0.3"/>
    <row r="12" spans="1:9" x14ac:dyDescent="0.25">
      <c r="A12" s="39" t="s">
        <v>16</v>
      </c>
      <c r="B12" s="41" t="s">
        <v>17</v>
      </c>
      <c r="C12" s="41" t="s">
        <v>18</v>
      </c>
      <c r="D12" s="41" t="s">
        <v>43</v>
      </c>
      <c r="E12" s="41" t="s">
        <v>19</v>
      </c>
      <c r="F12" s="41" t="s">
        <v>20</v>
      </c>
      <c r="G12" s="41" t="s">
        <v>21</v>
      </c>
      <c r="H12" s="36" t="s">
        <v>44</v>
      </c>
    </row>
    <row r="13" spans="1:9" x14ac:dyDescent="0.25">
      <c r="A13" s="40"/>
      <c r="B13" s="42"/>
      <c r="C13" s="42"/>
      <c r="D13" s="42"/>
      <c r="E13" s="42"/>
      <c r="F13" s="42"/>
      <c r="G13" s="42"/>
      <c r="H13" s="37"/>
    </row>
    <row r="14" spans="1:9" x14ac:dyDescent="0.25">
      <c r="A14" s="27">
        <v>39.729999999999997</v>
      </c>
      <c r="B14" s="46">
        <v>39.630000000000003</v>
      </c>
      <c r="C14" s="46">
        <v>0.1</v>
      </c>
      <c r="D14" s="31">
        <v>0.35</v>
      </c>
      <c r="E14" s="33">
        <v>25.93</v>
      </c>
      <c r="F14" s="46">
        <v>30.06</v>
      </c>
      <c r="G14" s="46">
        <v>-4.13</v>
      </c>
      <c r="H14" s="25">
        <v>1.6</v>
      </c>
    </row>
    <row r="15" spans="1:9" x14ac:dyDescent="0.25">
      <c r="A15" s="27"/>
      <c r="B15" s="46"/>
      <c r="C15" s="46"/>
      <c r="D15" s="31"/>
      <c r="E15" s="33"/>
      <c r="F15" s="46"/>
      <c r="G15" s="46"/>
      <c r="H15" s="25"/>
    </row>
    <row r="16" spans="1:9" x14ac:dyDescent="0.25">
      <c r="A16" s="27">
        <v>19.82</v>
      </c>
      <c r="B16" s="46">
        <v>19.920000000000002</v>
      </c>
      <c r="C16" s="46">
        <v>-0.1</v>
      </c>
      <c r="D16" s="31">
        <v>0.35</v>
      </c>
      <c r="E16" s="33">
        <v>50.81</v>
      </c>
      <c r="F16" s="46">
        <v>53.82</v>
      </c>
      <c r="G16" s="46">
        <v>-3.01</v>
      </c>
      <c r="H16" s="25">
        <v>1.6</v>
      </c>
    </row>
    <row r="17" spans="1:10" x14ac:dyDescent="0.25">
      <c r="A17" s="27"/>
      <c r="B17" s="46"/>
      <c r="C17" s="46"/>
      <c r="D17" s="31"/>
      <c r="E17" s="33"/>
      <c r="F17" s="46"/>
      <c r="G17" s="46"/>
      <c r="H17" s="25"/>
    </row>
    <row r="18" spans="1:10" x14ac:dyDescent="0.25">
      <c r="A18" s="27">
        <v>9.73</v>
      </c>
      <c r="B18" s="46">
        <v>9.9600000000000009</v>
      </c>
      <c r="C18" s="46">
        <v>-0.23</v>
      </c>
      <c r="D18" s="31">
        <v>0.35</v>
      </c>
      <c r="E18" s="33">
        <v>79.53</v>
      </c>
      <c r="F18" s="46">
        <v>78.8</v>
      </c>
      <c r="G18" s="46">
        <v>0.73</v>
      </c>
      <c r="H18" s="25">
        <v>1.8</v>
      </c>
    </row>
    <row r="19" spans="1:10" ht="15.75" thickBot="1" x14ac:dyDescent="0.3">
      <c r="A19" s="28"/>
      <c r="B19" s="47"/>
      <c r="C19" s="47"/>
      <c r="D19" s="32"/>
      <c r="E19" s="34"/>
      <c r="F19" s="47"/>
      <c r="G19" s="47"/>
      <c r="H19" s="35"/>
    </row>
    <row r="22" spans="1:10" x14ac:dyDescent="0.25">
      <c r="A22" s="38" t="s">
        <v>9</v>
      </c>
      <c r="B22" s="38"/>
      <c r="F22" s="26" t="s">
        <v>10</v>
      </c>
      <c r="G22" s="26"/>
    </row>
    <row r="23" spans="1:10" x14ac:dyDescent="0.25">
      <c r="A23" s="24" t="s">
        <v>0</v>
      </c>
      <c r="B23" s="24"/>
      <c r="C23" s="24"/>
      <c r="D23" s="24"/>
      <c r="F23" s="24" t="s">
        <v>0</v>
      </c>
      <c r="G23" s="24"/>
      <c r="H23" s="24"/>
      <c r="I23" s="24"/>
    </row>
    <row r="24" spans="1:10" x14ac:dyDescent="0.25">
      <c r="A24" s="19" t="s">
        <v>1</v>
      </c>
      <c r="B24" s="17"/>
      <c r="C24" s="20" t="s">
        <v>2</v>
      </c>
      <c r="D24" s="17"/>
      <c r="F24" s="19" t="s">
        <v>1</v>
      </c>
      <c r="G24" s="17"/>
      <c r="H24" s="20" t="s">
        <v>2</v>
      </c>
      <c r="I24" s="17"/>
      <c r="J24" s="2"/>
    </row>
    <row r="25" spans="1:10" x14ac:dyDescent="0.25">
      <c r="A25" s="19" t="s">
        <v>3</v>
      </c>
      <c r="B25" s="17"/>
      <c r="C25" s="21" t="s">
        <v>4</v>
      </c>
      <c r="D25" s="17"/>
      <c r="F25" s="19" t="s">
        <v>3</v>
      </c>
      <c r="G25" s="17"/>
      <c r="H25" s="21" t="s">
        <v>4</v>
      </c>
      <c r="I25" s="17"/>
    </row>
    <row r="26" spans="1:10" x14ac:dyDescent="0.25">
      <c r="A26" s="19" t="s">
        <v>5</v>
      </c>
      <c r="B26" s="17"/>
      <c r="C26" s="21" t="s">
        <v>6</v>
      </c>
      <c r="D26" s="18" t="e">
        <f>((B26-B24)*(D25-D24)/(B25-B24))+D24</f>
        <v>#DIV/0!</v>
      </c>
      <c r="F26" s="19" t="s">
        <v>5</v>
      </c>
      <c r="G26" s="17"/>
      <c r="H26" s="21" t="s">
        <v>6</v>
      </c>
      <c r="I26" s="18" t="e">
        <f>((G26-G24)*(I25-I24)/(G25-G24))+I24</f>
        <v>#DIV/0!</v>
      </c>
    </row>
    <row r="27" spans="1:10" x14ac:dyDescent="0.25">
      <c r="A27" s="1"/>
    </row>
    <row r="28" spans="1:10" x14ac:dyDescent="0.25">
      <c r="A28" s="24" t="s">
        <v>7</v>
      </c>
      <c r="B28" s="24"/>
      <c r="C28" s="22" t="e">
        <f>B26+D26</f>
        <v>#DIV/0!</v>
      </c>
      <c r="F28" s="24" t="s">
        <v>8</v>
      </c>
      <c r="G28" s="24"/>
      <c r="H28" s="22" t="e">
        <f>G26+I26</f>
        <v>#DIV/0!</v>
      </c>
    </row>
  </sheetData>
  <mergeCells count="42">
    <mergeCell ref="A28:B28"/>
    <mergeCell ref="F28:G28"/>
    <mergeCell ref="G18:G19"/>
    <mergeCell ref="H18:H19"/>
    <mergeCell ref="A22:B22"/>
    <mergeCell ref="F22:G22"/>
    <mergeCell ref="A23:D23"/>
    <mergeCell ref="F23:I23"/>
    <mergeCell ref="A18:A19"/>
    <mergeCell ref="B18:B19"/>
    <mergeCell ref="C18:C19"/>
    <mergeCell ref="D18:D19"/>
    <mergeCell ref="E18:E19"/>
    <mergeCell ref="F18:F19"/>
    <mergeCell ref="A16:A17"/>
    <mergeCell ref="B16:B17"/>
    <mergeCell ref="C16:C17"/>
    <mergeCell ref="D16:D17"/>
    <mergeCell ref="E16:E17"/>
    <mergeCell ref="A14:A15"/>
    <mergeCell ref="B14:B15"/>
    <mergeCell ref="C14:C15"/>
    <mergeCell ref="D14:D15"/>
    <mergeCell ref="E14:E15"/>
    <mergeCell ref="A1:B4"/>
    <mergeCell ref="C1:G2"/>
    <mergeCell ref="C3:G4"/>
    <mergeCell ref="A10:F10"/>
    <mergeCell ref="A12:A13"/>
    <mergeCell ref="B12:B13"/>
    <mergeCell ref="C12:C13"/>
    <mergeCell ref="D12:D13"/>
    <mergeCell ref="G14:G15"/>
    <mergeCell ref="H14:H15"/>
    <mergeCell ref="G16:G17"/>
    <mergeCell ref="H16:H17"/>
    <mergeCell ref="E12:E13"/>
    <mergeCell ref="F12:F13"/>
    <mergeCell ref="G12:G13"/>
    <mergeCell ref="H12:H13"/>
    <mergeCell ref="F16:F17"/>
    <mergeCell ref="F14:F1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showGridLines="0" topLeftCell="C1" workbookViewId="0">
      <selection activeCell="I12" sqref="I12"/>
    </sheetView>
  </sheetViews>
  <sheetFormatPr baseColWidth="10" defaultRowHeight="15" x14ac:dyDescent="0.25"/>
  <cols>
    <col min="5" max="5" width="14.28515625" customWidth="1"/>
  </cols>
  <sheetData>
    <row r="1" spans="1:9" x14ac:dyDescent="0.25">
      <c r="A1" s="44"/>
      <c r="B1" s="44"/>
      <c r="C1" s="45" t="s">
        <v>11</v>
      </c>
      <c r="D1" s="45"/>
      <c r="E1" s="45"/>
      <c r="F1" s="45"/>
      <c r="G1" s="45"/>
      <c r="H1" s="3" t="s">
        <v>12</v>
      </c>
      <c r="I1" s="3" t="s">
        <v>47</v>
      </c>
    </row>
    <row r="2" spans="1:9" x14ac:dyDescent="0.25">
      <c r="A2" s="44"/>
      <c r="B2" s="44"/>
      <c r="C2" s="45"/>
      <c r="D2" s="45"/>
      <c r="E2" s="45"/>
      <c r="F2" s="45"/>
      <c r="G2" s="45"/>
      <c r="H2" s="3" t="s">
        <v>13</v>
      </c>
      <c r="I2" s="3">
        <v>1</v>
      </c>
    </row>
    <row r="3" spans="1:9" x14ac:dyDescent="0.25">
      <c r="A3" s="44"/>
      <c r="B3" s="44"/>
      <c r="C3" s="45" t="s">
        <v>0</v>
      </c>
      <c r="D3" s="45"/>
      <c r="E3" s="45"/>
      <c r="F3" s="45"/>
      <c r="G3" s="45"/>
      <c r="H3" s="3" t="s">
        <v>14</v>
      </c>
      <c r="I3" s="4">
        <v>45638</v>
      </c>
    </row>
    <row r="4" spans="1:9" ht="15.75" x14ac:dyDescent="0.25">
      <c r="A4" s="44"/>
      <c r="B4" s="44"/>
      <c r="C4" s="45"/>
      <c r="D4" s="45"/>
      <c r="E4" s="45"/>
      <c r="F4" s="45"/>
      <c r="G4" s="45"/>
      <c r="H4" s="3" t="s">
        <v>15</v>
      </c>
      <c r="I4" s="5" t="s">
        <v>46</v>
      </c>
    </row>
    <row r="6" spans="1:9" ht="15.75" x14ac:dyDescent="0.25">
      <c r="A6" s="9" t="s">
        <v>22</v>
      </c>
      <c r="B6" s="14" t="s">
        <v>23</v>
      </c>
      <c r="D6" s="9" t="s">
        <v>26</v>
      </c>
      <c r="E6" s="48">
        <v>20191000470</v>
      </c>
      <c r="F6" s="48"/>
    </row>
    <row r="7" spans="1:9" ht="15.75" x14ac:dyDescent="0.25">
      <c r="A7" s="9" t="s">
        <v>24</v>
      </c>
      <c r="B7" s="14" t="s">
        <v>32</v>
      </c>
      <c r="D7" s="12" t="s">
        <v>42</v>
      </c>
      <c r="E7" s="14" t="s">
        <v>34</v>
      </c>
      <c r="G7" s="7"/>
    </row>
    <row r="8" spans="1:9" ht="15.75" x14ac:dyDescent="0.25">
      <c r="A8" s="9" t="s">
        <v>28</v>
      </c>
      <c r="B8" s="14" t="s">
        <v>33</v>
      </c>
      <c r="D8" s="15" t="s">
        <v>31</v>
      </c>
      <c r="E8" s="16">
        <v>45587</v>
      </c>
      <c r="G8" s="6"/>
    </row>
    <row r="9" spans="1:9" ht="15.75" x14ac:dyDescent="0.25">
      <c r="B9" s="10"/>
      <c r="C9" s="6"/>
      <c r="D9" s="7"/>
      <c r="E9" s="14"/>
      <c r="F9" s="11"/>
      <c r="G9" s="7"/>
    </row>
    <row r="10" spans="1:9" ht="15.75" x14ac:dyDescent="0.25">
      <c r="A10" s="43" t="s">
        <v>45</v>
      </c>
      <c r="B10" s="43"/>
      <c r="C10" s="43"/>
      <c r="D10" s="43"/>
      <c r="E10" s="43"/>
      <c r="F10" s="43"/>
    </row>
    <row r="11" spans="1:9" ht="15.75" thickBot="1" x14ac:dyDescent="0.3"/>
    <row r="12" spans="1:9" x14ac:dyDescent="0.25">
      <c r="A12" s="39" t="s">
        <v>16</v>
      </c>
      <c r="B12" s="41" t="s">
        <v>17</v>
      </c>
      <c r="C12" s="41" t="s">
        <v>18</v>
      </c>
      <c r="D12" s="41" t="s">
        <v>43</v>
      </c>
      <c r="E12" s="41" t="s">
        <v>19</v>
      </c>
      <c r="F12" s="41" t="s">
        <v>20</v>
      </c>
      <c r="G12" s="41" t="s">
        <v>21</v>
      </c>
      <c r="H12" s="36" t="s">
        <v>44</v>
      </c>
    </row>
    <row r="13" spans="1:9" x14ac:dyDescent="0.25">
      <c r="A13" s="40"/>
      <c r="B13" s="42"/>
      <c r="C13" s="42"/>
      <c r="D13" s="42"/>
      <c r="E13" s="42"/>
      <c r="F13" s="42"/>
      <c r="G13" s="42"/>
      <c r="H13" s="37"/>
    </row>
    <row r="14" spans="1:9" x14ac:dyDescent="0.25">
      <c r="A14" s="27">
        <v>15.1</v>
      </c>
      <c r="B14" s="46">
        <v>15.2</v>
      </c>
      <c r="C14" s="46">
        <v>-0.1</v>
      </c>
      <c r="D14" s="31">
        <v>0.35</v>
      </c>
      <c r="E14" s="33">
        <v>81.09</v>
      </c>
      <c r="F14" s="46">
        <v>77.400000000000006</v>
      </c>
      <c r="G14" s="46">
        <v>3.7</v>
      </c>
      <c r="H14" s="25">
        <v>1.9</v>
      </c>
    </row>
    <row r="15" spans="1:9" x14ac:dyDescent="0.25">
      <c r="A15" s="27"/>
      <c r="B15" s="46"/>
      <c r="C15" s="46"/>
      <c r="D15" s="31"/>
      <c r="E15" s="33"/>
      <c r="F15" s="46"/>
      <c r="G15" s="46"/>
      <c r="H15" s="25"/>
    </row>
    <row r="16" spans="1:9" x14ac:dyDescent="0.25">
      <c r="A16" s="27">
        <v>20.02</v>
      </c>
      <c r="B16" s="46">
        <v>20</v>
      </c>
      <c r="C16" s="46">
        <v>0</v>
      </c>
      <c r="D16" s="31">
        <v>0.35</v>
      </c>
      <c r="E16" s="33">
        <v>59.76</v>
      </c>
      <c r="F16" s="46">
        <v>58.5</v>
      </c>
      <c r="G16" s="46">
        <v>1.3</v>
      </c>
      <c r="H16" s="25">
        <v>1.7</v>
      </c>
    </row>
    <row r="17" spans="1:10" x14ac:dyDescent="0.25">
      <c r="A17" s="27"/>
      <c r="B17" s="46"/>
      <c r="C17" s="46"/>
      <c r="D17" s="31"/>
      <c r="E17" s="33"/>
      <c r="F17" s="46"/>
      <c r="G17" s="46"/>
      <c r="H17" s="25"/>
    </row>
    <row r="18" spans="1:10" x14ac:dyDescent="0.25">
      <c r="A18" s="27">
        <v>29.79</v>
      </c>
      <c r="B18" s="46">
        <v>29.8</v>
      </c>
      <c r="C18" s="46">
        <v>0</v>
      </c>
      <c r="D18" s="31">
        <v>0.35</v>
      </c>
      <c r="E18" s="33">
        <v>19.8</v>
      </c>
      <c r="F18" s="46">
        <v>19.100000000000001</v>
      </c>
      <c r="G18" s="46">
        <v>0.7</v>
      </c>
      <c r="H18" s="25">
        <v>1</v>
      </c>
    </row>
    <row r="19" spans="1:10" ht="15.75" thickBot="1" x14ac:dyDescent="0.3">
      <c r="A19" s="28"/>
      <c r="B19" s="47"/>
      <c r="C19" s="47"/>
      <c r="D19" s="32"/>
      <c r="E19" s="34"/>
      <c r="F19" s="47"/>
      <c r="G19" s="47"/>
      <c r="H19" s="35"/>
    </row>
    <row r="22" spans="1:10" x14ac:dyDescent="0.25">
      <c r="A22" s="38" t="s">
        <v>9</v>
      </c>
      <c r="B22" s="38"/>
      <c r="F22" s="26" t="s">
        <v>10</v>
      </c>
      <c r="G22" s="26"/>
    </row>
    <row r="23" spans="1:10" x14ac:dyDescent="0.25">
      <c r="A23" s="24" t="s">
        <v>0</v>
      </c>
      <c r="B23" s="24"/>
      <c r="C23" s="24"/>
      <c r="D23" s="24"/>
      <c r="F23" s="24" t="s">
        <v>0</v>
      </c>
      <c r="G23" s="24"/>
      <c r="H23" s="24"/>
      <c r="I23" s="24"/>
    </row>
    <row r="24" spans="1:10" x14ac:dyDescent="0.25">
      <c r="A24" s="19" t="s">
        <v>1</v>
      </c>
      <c r="B24" s="17"/>
      <c r="C24" s="20" t="s">
        <v>2</v>
      </c>
      <c r="D24" s="17"/>
      <c r="F24" s="19" t="s">
        <v>1</v>
      </c>
      <c r="G24" s="17"/>
      <c r="H24" s="20" t="s">
        <v>2</v>
      </c>
      <c r="I24" s="17"/>
      <c r="J24" s="2"/>
    </row>
    <row r="25" spans="1:10" x14ac:dyDescent="0.25">
      <c r="A25" s="19" t="s">
        <v>3</v>
      </c>
      <c r="B25" s="17"/>
      <c r="C25" s="21" t="s">
        <v>4</v>
      </c>
      <c r="D25" s="17"/>
      <c r="F25" s="19" t="s">
        <v>3</v>
      </c>
      <c r="G25" s="17"/>
      <c r="H25" s="21" t="s">
        <v>4</v>
      </c>
      <c r="I25" s="17"/>
    </row>
    <row r="26" spans="1:10" x14ac:dyDescent="0.25">
      <c r="A26" s="19" t="s">
        <v>5</v>
      </c>
      <c r="B26" s="17"/>
      <c r="C26" s="21" t="s">
        <v>6</v>
      </c>
      <c r="D26" s="18" t="e">
        <f>((B26-B24)*(D25-D24)/(B25-B24))+D24</f>
        <v>#DIV/0!</v>
      </c>
      <c r="F26" s="19" t="s">
        <v>5</v>
      </c>
      <c r="G26" s="17"/>
      <c r="H26" s="21" t="s">
        <v>6</v>
      </c>
      <c r="I26" s="18" t="e">
        <f>((G26-G24)*(I25-I24)/(G25-G24))+I24</f>
        <v>#DIV/0!</v>
      </c>
    </row>
    <row r="27" spans="1:10" x14ac:dyDescent="0.25">
      <c r="A27" s="1"/>
    </row>
    <row r="28" spans="1:10" x14ac:dyDescent="0.25">
      <c r="A28" s="24" t="s">
        <v>7</v>
      </c>
      <c r="B28" s="24"/>
      <c r="C28" s="22" t="e">
        <f>B26+D26</f>
        <v>#DIV/0!</v>
      </c>
      <c r="F28" s="24" t="s">
        <v>8</v>
      </c>
      <c r="G28" s="24"/>
      <c r="H28" s="22" t="e">
        <f>G26+I26</f>
        <v>#DIV/0!</v>
      </c>
    </row>
  </sheetData>
  <mergeCells count="43">
    <mergeCell ref="C14:C15"/>
    <mergeCell ref="D14:D15"/>
    <mergeCell ref="E14:E15"/>
    <mergeCell ref="F14:F15"/>
    <mergeCell ref="G14:G15"/>
    <mergeCell ref="A22:B22"/>
    <mergeCell ref="F22:G22"/>
    <mergeCell ref="A23:D23"/>
    <mergeCell ref="F23:I23"/>
    <mergeCell ref="E16:E17"/>
    <mergeCell ref="F16:F17"/>
    <mergeCell ref="A28:B28"/>
    <mergeCell ref="F28:G28"/>
    <mergeCell ref="G16:G17"/>
    <mergeCell ref="H16:H17"/>
    <mergeCell ref="A18:A19"/>
    <mergeCell ref="B18:B19"/>
    <mergeCell ref="C18:C19"/>
    <mergeCell ref="D18:D19"/>
    <mergeCell ref="E18:E19"/>
    <mergeCell ref="F18:F19"/>
    <mergeCell ref="G18:G19"/>
    <mergeCell ref="H18:H19"/>
    <mergeCell ref="A16:A17"/>
    <mergeCell ref="B16:B17"/>
    <mergeCell ref="C16:C17"/>
    <mergeCell ref="D16:D17"/>
    <mergeCell ref="H14:H15"/>
    <mergeCell ref="A1:B4"/>
    <mergeCell ref="C1:G2"/>
    <mergeCell ref="C3:G4"/>
    <mergeCell ref="A10:F10"/>
    <mergeCell ref="A12:A13"/>
    <mergeCell ref="B12:B13"/>
    <mergeCell ref="C12:C13"/>
    <mergeCell ref="D12:D13"/>
    <mergeCell ref="E12:E13"/>
    <mergeCell ref="F12:F13"/>
    <mergeCell ref="E6:F6"/>
    <mergeCell ref="G12:G13"/>
    <mergeCell ref="H12:H13"/>
    <mergeCell ref="A14:A15"/>
    <mergeCell ref="B14:B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showGridLines="0" tabSelected="1" workbookViewId="0">
      <selection activeCell="I9" sqref="I9"/>
    </sheetView>
  </sheetViews>
  <sheetFormatPr baseColWidth="10" defaultRowHeight="15" x14ac:dyDescent="0.25"/>
  <cols>
    <col min="5" max="5" width="14.140625" customWidth="1"/>
  </cols>
  <sheetData>
    <row r="1" spans="1:9" x14ac:dyDescent="0.25">
      <c r="A1" s="44"/>
      <c r="B1" s="44"/>
      <c r="C1" s="45" t="s">
        <v>11</v>
      </c>
      <c r="D1" s="45"/>
      <c r="E1" s="45"/>
      <c r="F1" s="45"/>
      <c r="G1" s="45"/>
      <c r="H1" s="3" t="s">
        <v>12</v>
      </c>
      <c r="I1" s="3" t="s">
        <v>47</v>
      </c>
    </row>
    <row r="2" spans="1:9" x14ac:dyDescent="0.25">
      <c r="A2" s="44"/>
      <c r="B2" s="44"/>
      <c r="C2" s="45"/>
      <c r="D2" s="45"/>
      <c r="E2" s="45"/>
      <c r="F2" s="45"/>
      <c r="G2" s="45"/>
      <c r="H2" s="3" t="s">
        <v>13</v>
      </c>
      <c r="I2" s="3">
        <v>1</v>
      </c>
    </row>
    <row r="3" spans="1:9" x14ac:dyDescent="0.25">
      <c r="A3" s="44"/>
      <c r="B3" s="44"/>
      <c r="C3" s="45" t="s">
        <v>0</v>
      </c>
      <c r="D3" s="45"/>
      <c r="E3" s="45"/>
      <c r="F3" s="45"/>
      <c r="G3" s="45"/>
      <c r="H3" s="3" t="s">
        <v>14</v>
      </c>
      <c r="I3" s="4">
        <v>45638</v>
      </c>
    </row>
    <row r="4" spans="1:9" ht="15.75" x14ac:dyDescent="0.25">
      <c r="A4" s="44"/>
      <c r="B4" s="44"/>
      <c r="C4" s="45"/>
      <c r="D4" s="45"/>
      <c r="E4" s="45"/>
      <c r="F4" s="45"/>
      <c r="G4" s="45"/>
      <c r="H4" s="3" t="s">
        <v>15</v>
      </c>
      <c r="I4" s="5" t="s">
        <v>46</v>
      </c>
    </row>
    <row r="6" spans="1:9" ht="15.75" x14ac:dyDescent="0.25">
      <c r="A6" s="9" t="s">
        <v>22</v>
      </c>
      <c r="B6" s="14" t="s">
        <v>23</v>
      </c>
      <c r="D6" s="9" t="s">
        <v>26</v>
      </c>
      <c r="E6" s="14">
        <v>19100040</v>
      </c>
      <c r="F6" s="14"/>
    </row>
    <row r="7" spans="1:9" ht="15.75" x14ac:dyDescent="0.25">
      <c r="A7" s="9" t="s">
        <v>24</v>
      </c>
      <c r="B7" s="14" t="s">
        <v>35</v>
      </c>
      <c r="D7" s="12" t="s">
        <v>42</v>
      </c>
      <c r="E7" s="14" t="s">
        <v>40</v>
      </c>
      <c r="F7" s="14"/>
      <c r="G7" s="7"/>
    </row>
    <row r="8" spans="1:9" ht="15.75" x14ac:dyDescent="0.25">
      <c r="A8" s="9" t="s">
        <v>28</v>
      </c>
      <c r="B8" s="14" t="s">
        <v>36</v>
      </c>
      <c r="D8" s="15" t="s">
        <v>31</v>
      </c>
      <c r="E8" s="16">
        <v>45586</v>
      </c>
      <c r="G8" s="6"/>
    </row>
    <row r="9" spans="1:9" ht="15.75" x14ac:dyDescent="0.25">
      <c r="B9" s="10"/>
      <c r="C9" s="6"/>
      <c r="D9" s="7"/>
      <c r="E9" s="14"/>
      <c r="F9" s="11"/>
      <c r="G9" s="7"/>
    </row>
    <row r="10" spans="1:9" ht="15.75" x14ac:dyDescent="0.25">
      <c r="A10" s="43" t="s">
        <v>45</v>
      </c>
      <c r="B10" s="43"/>
      <c r="C10" s="43"/>
      <c r="D10" s="43"/>
      <c r="E10" s="43"/>
      <c r="F10" s="43"/>
    </row>
    <row r="11" spans="1:9" ht="15.75" thickBot="1" x14ac:dyDescent="0.3"/>
    <row r="12" spans="1:9" x14ac:dyDescent="0.25">
      <c r="A12" s="39" t="s">
        <v>16</v>
      </c>
      <c r="B12" s="41" t="s">
        <v>17</v>
      </c>
      <c r="C12" s="41" t="s">
        <v>18</v>
      </c>
      <c r="D12" s="41" t="s">
        <v>43</v>
      </c>
      <c r="E12" s="41" t="s">
        <v>19</v>
      </c>
      <c r="F12" s="41" t="s">
        <v>20</v>
      </c>
      <c r="G12" s="41" t="s">
        <v>21</v>
      </c>
      <c r="H12" s="36" t="s">
        <v>44</v>
      </c>
    </row>
    <row r="13" spans="1:9" x14ac:dyDescent="0.25">
      <c r="A13" s="40"/>
      <c r="B13" s="42"/>
      <c r="C13" s="42"/>
      <c r="D13" s="42"/>
      <c r="E13" s="42"/>
      <c r="F13" s="42"/>
      <c r="G13" s="42"/>
      <c r="H13" s="37"/>
    </row>
    <row r="14" spans="1:9" x14ac:dyDescent="0.25">
      <c r="A14" s="27">
        <v>29.92</v>
      </c>
      <c r="B14" s="46">
        <v>30.3</v>
      </c>
      <c r="C14" s="46">
        <v>-0.4</v>
      </c>
      <c r="D14" s="31">
        <v>0.35</v>
      </c>
      <c r="E14" s="33">
        <v>29.59</v>
      </c>
      <c r="F14" s="46">
        <v>28.6</v>
      </c>
      <c r="G14" s="46">
        <v>1</v>
      </c>
      <c r="H14" s="25">
        <v>1.1000000000000001</v>
      </c>
    </row>
    <row r="15" spans="1:9" x14ac:dyDescent="0.25">
      <c r="A15" s="27"/>
      <c r="B15" s="46"/>
      <c r="C15" s="46"/>
      <c r="D15" s="31"/>
      <c r="E15" s="33"/>
      <c r="F15" s="46"/>
      <c r="G15" s="46"/>
      <c r="H15" s="25"/>
    </row>
    <row r="16" spans="1:9" x14ac:dyDescent="0.25">
      <c r="A16" s="27">
        <v>22.82</v>
      </c>
      <c r="B16" s="46">
        <v>23.2</v>
      </c>
      <c r="C16" s="46">
        <v>-0.4</v>
      </c>
      <c r="D16" s="31">
        <v>0.35</v>
      </c>
      <c r="E16" s="33">
        <v>50.83</v>
      </c>
      <c r="F16" s="46">
        <v>50.9</v>
      </c>
      <c r="G16" s="46">
        <v>-0.1</v>
      </c>
      <c r="H16" s="25">
        <v>1.8</v>
      </c>
    </row>
    <row r="17" spans="1:10" x14ac:dyDescent="0.25">
      <c r="A17" s="27"/>
      <c r="B17" s="46"/>
      <c r="C17" s="46"/>
      <c r="D17" s="31"/>
      <c r="E17" s="33"/>
      <c r="F17" s="46"/>
      <c r="G17" s="46"/>
      <c r="H17" s="25"/>
    </row>
    <row r="18" spans="1:10" x14ac:dyDescent="0.25">
      <c r="A18" s="27">
        <v>14.73</v>
      </c>
      <c r="B18" s="46">
        <v>15.1</v>
      </c>
      <c r="C18" s="46">
        <v>-0.4</v>
      </c>
      <c r="D18" s="31">
        <v>0.35</v>
      </c>
      <c r="E18" s="33">
        <v>81.17</v>
      </c>
      <c r="F18" s="46">
        <v>79.5</v>
      </c>
      <c r="G18" s="46">
        <v>1.7</v>
      </c>
      <c r="H18" s="25">
        <v>2.1</v>
      </c>
    </row>
    <row r="19" spans="1:10" ht="15.75" thickBot="1" x14ac:dyDescent="0.3">
      <c r="A19" s="28"/>
      <c r="B19" s="47"/>
      <c r="C19" s="47"/>
      <c r="D19" s="32"/>
      <c r="E19" s="34"/>
      <c r="F19" s="47"/>
      <c r="G19" s="47"/>
      <c r="H19" s="35"/>
    </row>
    <row r="22" spans="1:10" x14ac:dyDescent="0.25">
      <c r="A22" s="38" t="s">
        <v>9</v>
      </c>
      <c r="B22" s="38"/>
      <c r="F22" s="26" t="s">
        <v>10</v>
      </c>
      <c r="G22" s="26"/>
    </row>
    <row r="23" spans="1:10" x14ac:dyDescent="0.25">
      <c r="A23" s="24" t="s">
        <v>0</v>
      </c>
      <c r="B23" s="24"/>
      <c r="C23" s="24"/>
      <c r="D23" s="24"/>
      <c r="F23" s="24" t="s">
        <v>0</v>
      </c>
      <c r="G23" s="24"/>
      <c r="H23" s="24"/>
      <c r="I23" s="24"/>
    </row>
    <row r="24" spans="1:10" x14ac:dyDescent="0.25">
      <c r="A24" s="19" t="s">
        <v>1</v>
      </c>
      <c r="B24" s="17"/>
      <c r="C24" s="20" t="s">
        <v>2</v>
      </c>
      <c r="D24" s="17"/>
      <c r="F24" s="19" t="s">
        <v>1</v>
      </c>
      <c r="G24" s="17"/>
      <c r="H24" s="20" t="s">
        <v>2</v>
      </c>
      <c r="I24" s="17"/>
      <c r="J24" s="2"/>
    </row>
    <row r="25" spans="1:10" x14ac:dyDescent="0.25">
      <c r="A25" s="19" t="s">
        <v>3</v>
      </c>
      <c r="B25" s="17"/>
      <c r="C25" s="21" t="s">
        <v>4</v>
      </c>
      <c r="D25" s="17"/>
      <c r="F25" s="19" t="s">
        <v>3</v>
      </c>
      <c r="G25" s="17"/>
      <c r="H25" s="21" t="s">
        <v>4</v>
      </c>
      <c r="I25" s="17"/>
    </row>
    <row r="26" spans="1:10" x14ac:dyDescent="0.25">
      <c r="A26" s="19" t="s">
        <v>5</v>
      </c>
      <c r="B26" s="17"/>
      <c r="C26" s="21" t="s">
        <v>6</v>
      </c>
      <c r="D26" s="18" t="e">
        <f>((B26-B24)*(D25-D24)/(B25-B24))+D24</f>
        <v>#DIV/0!</v>
      </c>
      <c r="F26" s="19" t="s">
        <v>5</v>
      </c>
      <c r="G26" s="17"/>
      <c r="H26" s="21" t="s">
        <v>6</v>
      </c>
      <c r="I26" s="18" t="e">
        <f>((G26-G24)*(I25-I24)/(G25-G24))+I24</f>
        <v>#DIV/0!</v>
      </c>
    </row>
    <row r="27" spans="1:10" x14ac:dyDescent="0.25">
      <c r="A27" s="1"/>
    </row>
    <row r="28" spans="1:10" x14ac:dyDescent="0.25">
      <c r="A28" s="24" t="s">
        <v>7</v>
      </c>
      <c r="B28" s="24"/>
      <c r="C28" s="22" t="e">
        <f>B26+D26</f>
        <v>#DIV/0!</v>
      </c>
      <c r="F28" s="24" t="s">
        <v>8</v>
      </c>
      <c r="G28" s="24"/>
      <c r="H28" s="22" t="e">
        <f>G26+I26</f>
        <v>#DIV/0!</v>
      </c>
    </row>
  </sheetData>
  <mergeCells count="42">
    <mergeCell ref="F18:F19"/>
    <mergeCell ref="F16:F17"/>
    <mergeCell ref="G16:G17"/>
    <mergeCell ref="H16:H17"/>
    <mergeCell ref="A28:B28"/>
    <mergeCell ref="F28:G28"/>
    <mergeCell ref="G18:G19"/>
    <mergeCell ref="H18:H19"/>
    <mergeCell ref="A22:B22"/>
    <mergeCell ref="F22:G22"/>
    <mergeCell ref="A23:D23"/>
    <mergeCell ref="F23:I23"/>
    <mergeCell ref="A18:A19"/>
    <mergeCell ref="B18:B19"/>
    <mergeCell ref="C18:C19"/>
    <mergeCell ref="D18:D19"/>
    <mergeCell ref="E18:E19"/>
    <mergeCell ref="A16:A17"/>
    <mergeCell ref="B16:B17"/>
    <mergeCell ref="C16:C17"/>
    <mergeCell ref="D16:D17"/>
    <mergeCell ref="E16:E17"/>
    <mergeCell ref="H12:H13"/>
    <mergeCell ref="A14:A15"/>
    <mergeCell ref="B14:B15"/>
    <mergeCell ref="C14:C15"/>
    <mergeCell ref="D14:D15"/>
    <mergeCell ref="E14:E15"/>
    <mergeCell ref="F14:F15"/>
    <mergeCell ref="G14:G15"/>
    <mergeCell ref="H14:H15"/>
    <mergeCell ref="A1:B4"/>
    <mergeCell ref="C1:G2"/>
    <mergeCell ref="C3:G4"/>
    <mergeCell ref="A10:F10"/>
    <mergeCell ref="A12:A13"/>
    <mergeCell ref="B12:B13"/>
    <mergeCell ref="C12:C13"/>
    <mergeCell ref="D12:D13"/>
    <mergeCell ref="E12:E13"/>
    <mergeCell ref="F12:F13"/>
    <mergeCell ref="G12:G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T.Am.13</vt:lpstr>
      <vt:lpstr>T.Am.14</vt:lpstr>
      <vt:lpstr>T.Am.12</vt:lpstr>
      <vt:lpstr>T.Lu.11-</vt:lpstr>
      <vt:lpstr>T.Ve-16-</vt:lpstr>
      <vt:lpstr>T.Am.15-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dcterms:created xsi:type="dcterms:W3CDTF">2023-03-21T11:11:15Z</dcterms:created>
  <dcterms:modified xsi:type="dcterms:W3CDTF">2026-03-19T10:11:10Z</dcterms:modified>
</cp:coreProperties>
</file>